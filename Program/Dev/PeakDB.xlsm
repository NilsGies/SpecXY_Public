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ls/Documents/PhD_Bern/MATLAB/SpecXY/Dev/"/>
    </mc:Choice>
  </mc:AlternateContent>
  <xr:revisionPtr revIDLastSave="0" documentId="13_ncr:1_{F7F0C02E-1F31-3F45-AF1A-E5A3E7687F11}" xr6:coauthVersionLast="47" xr6:coauthVersionMax="47" xr10:uidLastSave="{00000000-0000-0000-0000-000000000000}"/>
  <bookViews>
    <workbookView xWindow="-20940" yWindow="-23420" windowWidth="29640" windowHeight="20980" xr2:uid="{00000000-000D-0000-FFFF-FFFF00000000}"/>
  </bookViews>
  <sheets>
    <sheet name="PeakDB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W143" i="1"/>
  <c r="V143" i="1"/>
  <c r="S143" i="1"/>
  <c r="R143" i="1"/>
  <c r="Q143" i="1"/>
  <c r="W140" i="1"/>
  <c r="V140" i="1"/>
  <c r="S140" i="1"/>
  <c r="R140" i="1"/>
  <c r="Q140" i="1"/>
  <c r="W139" i="1"/>
  <c r="V139" i="1"/>
  <c r="P139" i="1"/>
  <c r="Q139" i="1" s="1"/>
  <c r="W138" i="1"/>
  <c r="V138" i="1"/>
  <c r="S138" i="1"/>
  <c r="R138" i="1"/>
  <c r="Q138" i="1"/>
  <c r="W137" i="1"/>
  <c r="V137" i="1"/>
  <c r="S137" i="1"/>
  <c r="R137" i="1"/>
  <c r="Q137" i="1"/>
  <c r="W136" i="1"/>
  <c r="V136" i="1"/>
  <c r="S136" i="1"/>
  <c r="R136" i="1"/>
  <c r="Q136" i="1"/>
  <c r="W135" i="1"/>
  <c r="V135" i="1"/>
  <c r="P135" i="1"/>
  <c r="S135" i="1" s="1"/>
  <c r="W134" i="1"/>
  <c r="V134" i="1"/>
  <c r="P134" i="1"/>
  <c r="S134" i="1" s="1"/>
  <c r="W133" i="1"/>
  <c r="V133" i="1"/>
  <c r="P133" i="1"/>
  <c r="S133" i="1" s="1"/>
  <c r="W132" i="1"/>
  <c r="V132" i="1"/>
  <c r="P132" i="1"/>
  <c r="R132" i="1" s="1"/>
  <c r="W131" i="1"/>
  <c r="V131" i="1"/>
  <c r="P131" i="1"/>
  <c r="S131" i="1" s="1"/>
  <c r="W130" i="1"/>
  <c r="V130" i="1"/>
  <c r="P130" i="1"/>
  <c r="R130" i="1" s="1"/>
  <c r="W129" i="1"/>
  <c r="V129" i="1"/>
  <c r="S129" i="1"/>
  <c r="R129" i="1"/>
  <c r="Q129" i="1"/>
  <c r="W128" i="1"/>
  <c r="V128" i="1"/>
  <c r="S128" i="1"/>
  <c r="R128" i="1"/>
  <c r="Q128" i="1"/>
  <c r="W127" i="1"/>
  <c r="V127" i="1"/>
  <c r="S127" i="1"/>
  <c r="R127" i="1"/>
  <c r="Q127" i="1"/>
  <c r="B336" i="1"/>
  <c r="C336" i="1"/>
  <c r="B335" i="1"/>
  <c r="C335" i="1"/>
  <c r="B334" i="1"/>
  <c r="C334" i="1"/>
  <c r="B333" i="1"/>
  <c r="C333" i="1"/>
  <c r="B332" i="1"/>
  <c r="C332" i="1"/>
  <c r="B331" i="1"/>
  <c r="C331" i="1"/>
  <c r="B330" i="1"/>
  <c r="C330" i="1"/>
  <c r="B329" i="1"/>
  <c r="C329" i="1"/>
  <c r="B328" i="1"/>
  <c r="C328" i="1"/>
  <c r="B327" i="1"/>
  <c r="C327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290" i="1"/>
  <c r="G285" i="1"/>
  <c r="G284" i="1"/>
  <c r="G287" i="1"/>
  <c r="G280" i="1"/>
  <c r="G281" i="1"/>
  <c r="G282" i="1"/>
  <c r="G277" i="1"/>
  <c r="A3" i="1"/>
  <c r="C186" i="1"/>
  <c r="H186" i="1" s="1"/>
  <c r="C185" i="1"/>
  <c r="H185" i="1" s="1"/>
  <c r="P56" i="1"/>
  <c r="Q56" i="1" s="1"/>
  <c r="P57" i="1"/>
  <c r="R57" i="1" s="1"/>
  <c r="P61" i="1"/>
  <c r="S61" i="1" s="1"/>
  <c r="P62" i="1"/>
  <c r="Q62" i="1" s="1"/>
  <c r="P63" i="1"/>
  <c r="Q63" i="1" s="1"/>
  <c r="I70" i="1"/>
  <c r="P70" i="1" s="1"/>
  <c r="P51" i="1"/>
  <c r="Q51" i="1" s="1"/>
  <c r="G81" i="1"/>
  <c r="G82" i="1"/>
  <c r="G83" i="1"/>
  <c r="G84" i="1"/>
  <c r="G85" i="1"/>
  <c r="G86" i="1"/>
  <c r="G87" i="1"/>
  <c r="G88" i="1"/>
  <c r="G89" i="1"/>
  <c r="G90" i="1"/>
  <c r="G91" i="1"/>
  <c r="G92" i="1"/>
  <c r="G80" i="1"/>
  <c r="I171" i="1"/>
  <c r="P171" i="1" s="1"/>
  <c r="I170" i="1"/>
  <c r="P170" i="1" s="1"/>
  <c r="Q146" i="1"/>
  <c r="R146" i="1"/>
  <c r="S146" i="1"/>
  <c r="V146" i="1"/>
  <c r="W146" i="1"/>
  <c r="Q147" i="1"/>
  <c r="R147" i="1"/>
  <c r="S147" i="1"/>
  <c r="V147" i="1"/>
  <c r="W147" i="1"/>
  <c r="Q148" i="1"/>
  <c r="R148" i="1"/>
  <c r="S148" i="1"/>
  <c r="V148" i="1"/>
  <c r="W148" i="1"/>
  <c r="Q149" i="1"/>
  <c r="R149" i="1"/>
  <c r="S149" i="1"/>
  <c r="V149" i="1"/>
  <c r="W149" i="1"/>
  <c r="Q150" i="1"/>
  <c r="R150" i="1"/>
  <c r="S150" i="1"/>
  <c r="V150" i="1"/>
  <c r="W150" i="1"/>
  <c r="Q151" i="1"/>
  <c r="R151" i="1"/>
  <c r="S151" i="1"/>
  <c r="V151" i="1"/>
  <c r="W151" i="1"/>
  <c r="Q152" i="1"/>
  <c r="R152" i="1"/>
  <c r="S152" i="1"/>
  <c r="V152" i="1"/>
  <c r="W152" i="1"/>
  <c r="Q153" i="1"/>
  <c r="R153" i="1"/>
  <c r="S153" i="1"/>
  <c r="V153" i="1"/>
  <c r="W153" i="1"/>
  <c r="Q154" i="1"/>
  <c r="R154" i="1"/>
  <c r="S154" i="1"/>
  <c r="V154" i="1"/>
  <c r="W154" i="1"/>
  <c r="Q155" i="1"/>
  <c r="R155" i="1"/>
  <c r="S155" i="1"/>
  <c r="V155" i="1"/>
  <c r="W155" i="1"/>
  <c r="Q156" i="1"/>
  <c r="R156" i="1"/>
  <c r="S156" i="1"/>
  <c r="V156" i="1"/>
  <c r="W156" i="1"/>
  <c r="Q157" i="1"/>
  <c r="R157" i="1"/>
  <c r="S157" i="1"/>
  <c r="V157" i="1"/>
  <c r="W157" i="1"/>
  <c r="Q158" i="1"/>
  <c r="R158" i="1"/>
  <c r="S158" i="1"/>
  <c r="V158" i="1"/>
  <c r="W158" i="1"/>
  <c r="Q159" i="1"/>
  <c r="R159" i="1"/>
  <c r="S159" i="1"/>
  <c r="V159" i="1"/>
  <c r="W159" i="1"/>
  <c r="Q160" i="1"/>
  <c r="R160" i="1"/>
  <c r="S160" i="1"/>
  <c r="V160" i="1"/>
  <c r="W160" i="1"/>
  <c r="Q161" i="1"/>
  <c r="R161" i="1"/>
  <c r="S161" i="1"/>
  <c r="V161" i="1"/>
  <c r="W161" i="1"/>
  <c r="Q162" i="1"/>
  <c r="R162" i="1"/>
  <c r="S162" i="1"/>
  <c r="V162" i="1"/>
  <c r="W162" i="1"/>
  <c r="Q163" i="1"/>
  <c r="R163" i="1"/>
  <c r="S163" i="1"/>
  <c r="V163" i="1"/>
  <c r="W163" i="1"/>
  <c r="Q164" i="1"/>
  <c r="R164" i="1"/>
  <c r="S164" i="1"/>
  <c r="V164" i="1"/>
  <c r="W164" i="1"/>
  <c r="Q165" i="1"/>
  <c r="R165" i="1"/>
  <c r="S165" i="1"/>
  <c r="V165" i="1"/>
  <c r="W165" i="1"/>
  <c r="Q166" i="1"/>
  <c r="R166" i="1"/>
  <c r="S166" i="1"/>
  <c r="V166" i="1"/>
  <c r="W166" i="1"/>
  <c r="Q167" i="1"/>
  <c r="R167" i="1"/>
  <c r="S167" i="1"/>
  <c r="V167" i="1"/>
  <c r="W167" i="1"/>
  <c r="Q168" i="1"/>
  <c r="R168" i="1"/>
  <c r="S168" i="1"/>
  <c r="V168" i="1"/>
  <c r="W168" i="1"/>
  <c r="Q169" i="1"/>
  <c r="R169" i="1"/>
  <c r="S169" i="1"/>
  <c r="V169" i="1"/>
  <c r="W169" i="1"/>
  <c r="W170" i="1"/>
  <c r="V170" i="1"/>
  <c r="W171" i="1"/>
  <c r="V171" i="1"/>
  <c r="P80" i="1"/>
  <c r="S80" i="1" s="1"/>
  <c r="V80" i="1"/>
  <c r="W80" i="1"/>
  <c r="W84" i="1"/>
  <c r="V84" i="1"/>
  <c r="P84" i="1"/>
  <c r="S84" i="1" s="1"/>
  <c r="Q141" i="1"/>
  <c r="V141" i="1"/>
  <c r="W141" i="1"/>
  <c r="Q142" i="1"/>
  <c r="R142" i="1"/>
  <c r="V142" i="1"/>
  <c r="W142" i="1"/>
  <c r="Q144" i="1"/>
  <c r="S144" i="1"/>
  <c r="V144" i="1"/>
  <c r="W144" i="1"/>
  <c r="P145" i="1"/>
  <c r="R145" i="1" s="1"/>
  <c r="V145" i="1"/>
  <c r="W145" i="1"/>
  <c r="P2" i="1"/>
  <c r="R2" i="1" s="1"/>
  <c r="P3" i="1"/>
  <c r="R3" i="1" s="1"/>
  <c r="P4" i="1"/>
  <c r="S4" i="1" s="1"/>
  <c r="P5" i="1"/>
  <c r="R5" i="1" s="1"/>
  <c r="P6" i="1"/>
  <c r="R6" i="1" s="1"/>
  <c r="P7" i="1"/>
  <c r="R7" i="1" s="1"/>
  <c r="P8" i="1"/>
  <c r="R8" i="1" s="1"/>
  <c r="P9" i="1"/>
  <c r="Q9" i="1" s="1"/>
  <c r="P10" i="1"/>
  <c r="S10" i="1" s="1"/>
  <c r="Q10" i="1"/>
  <c r="P11" i="1"/>
  <c r="Q11" i="1" s="1"/>
  <c r="P12" i="1"/>
  <c r="R12" i="1" s="1"/>
  <c r="Q12" i="1"/>
  <c r="P13" i="1"/>
  <c r="S13" i="1" s="1"/>
  <c r="P14" i="1"/>
  <c r="S14" i="1" s="1"/>
  <c r="P15" i="1"/>
  <c r="S15" i="1" s="1"/>
  <c r="P16" i="1"/>
  <c r="S16" i="1" s="1"/>
  <c r="P17" i="1"/>
  <c r="Q17" i="1" s="1"/>
  <c r="P18" i="1"/>
  <c r="S18" i="1" s="1"/>
  <c r="P19" i="1"/>
  <c r="S19" i="1" s="1"/>
  <c r="P20" i="1"/>
  <c r="R20" i="1" s="1"/>
  <c r="P21" i="1"/>
  <c r="S21" i="1" s="1"/>
  <c r="P22" i="1"/>
  <c r="R22" i="1" s="1"/>
  <c r="Q22" i="1"/>
  <c r="P23" i="1"/>
  <c r="S23" i="1" s="1"/>
  <c r="P24" i="1"/>
  <c r="Q24" i="1" s="1"/>
  <c r="P25" i="1"/>
  <c r="R25" i="1" s="1"/>
  <c r="P26" i="1"/>
  <c r="R26" i="1" s="1"/>
  <c r="P27" i="1"/>
  <c r="R27" i="1" s="1"/>
  <c r="P28" i="1"/>
  <c r="S28" i="1" s="1"/>
  <c r="P29" i="1"/>
  <c r="S29" i="1" s="1"/>
  <c r="P30" i="1"/>
  <c r="S30" i="1" s="1"/>
  <c r="Q30" i="1"/>
  <c r="P31" i="1"/>
  <c r="R31" i="1" s="1"/>
  <c r="P32" i="1"/>
  <c r="S32" i="1" s="1"/>
  <c r="P33" i="1"/>
  <c r="R33" i="1" s="1"/>
  <c r="S33" i="1"/>
  <c r="P34" i="1"/>
  <c r="R34" i="1" s="1"/>
  <c r="P35" i="1"/>
  <c r="S35" i="1" s="1"/>
  <c r="P36" i="1"/>
  <c r="Q36" i="1" s="1"/>
  <c r="P37" i="1"/>
  <c r="Q37" i="1" s="1"/>
  <c r="P38" i="1"/>
  <c r="S38" i="1" s="1"/>
  <c r="P39" i="1"/>
  <c r="Q39" i="1" s="1"/>
  <c r="P40" i="1"/>
  <c r="S40" i="1" s="1"/>
  <c r="P41" i="1"/>
  <c r="R41" i="1" s="1"/>
  <c r="P42" i="1"/>
  <c r="Q42" i="1" s="1"/>
  <c r="P43" i="1"/>
  <c r="R43" i="1" s="1"/>
  <c r="P44" i="1"/>
  <c r="Q44" i="1" s="1"/>
  <c r="P45" i="1"/>
  <c r="Q45" i="1" s="1"/>
  <c r="S45" i="1"/>
  <c r="P46" i="1"/>
  <c r="R46" i="1" s="1"/>
  <c r="P47" i="1"/>
  <c r="S47" i="1" s="1"/>
  <c r="P48" i="1"/>
  <c r="R48" i="1" s="1"/>
  <c r="P49" i="1"/>
  <c r="S49" i="1" s="1"/>
  <c r="P50" i="1"/>
  <c r="S50" i="1" s="1"/>
  <c r="P52" i="1"/>
  <c r="S52" i="1" s="1"/>
  <c r="P53" i="1"/>
  <c r="R53" i="1" s="1"/>
  <c r="P54" i="1"/>
  <c r="S54" i="1" s="1"/>
  <c r="P55" i="1"/>
  <c r="R55" i="1" s="1"/>
  <c r="P58" i="1"/>
  <c r="Q58" i="1" s="1"/>
  <c r="P59" i="1"/>
  <c r="R59" i="1" s="1"/>
  <c r="P60" i="1"/>
  <c r="R60" i="1" s="1"/>
  <c r="P64" i="1"/>
  <c r="Q64" i="1" s="1"/>
  <c r="P65" i="1"/>
  <c r="Q65" i="1" s="1"/>
  <c r="P66" i="1"/>
  <c r="Q66" i="1" s="1"/>
  <c r="R66" i="1"/>
  <c r="P67" i="1"/>
  <c r="R67" i="1" s="1"/>
  <c r="P68" i="1"/>
  <c r="Q68" i="1" s="1"/>
  <c r="P69" i="1"/>
  <c r="R69" i="1" s="1"/>
  <c r="P81" i="1"/>
  <c r="Q81" i="1" s="1"/>
  <c r="P82" i="1"/>
  <c r="S82" i="1" s="1"/>
  <c r="P83" i="1"/>
  <c r="S83" i="1" s="1"/>
  <c r="P85" i="1"/>
  <c r="Q85" i="1" s="1"/>
  <c r="P86" i="1"/>
  <c r="R86" i="1" s="1"/>
  <c r="P87" i="1"/>
  <c r="Q87" i="1" s="1"/>
  <c r="P88" i="1"/>
  <c r="Q88" i="1" s="1"/>
  <c r="P89" i="1"/>
  <c r="Q89" i="1" s="1"/>
  <c r="P90" i="1"/>
  <c r="S90" i="1" s="1"/>
  <c r="P91" i="1"/>
  <c r="S91" i="1" s="1"/>
  <c r="P92" i="1"/>
  <c r="Q92" i="1" s="1"/>
  <c r="P93" i="1"/>
  <c r="Q93" i="1" s="1"/>
  <c r="P94" i="1"/>
  <c r="S94" i="1" s="1"/>
  <c r="P95" i="1"/>
  <c r="R95" i="1" s="1"/>
  <c r="P96" i="1"/>
  <c r="S96" i="1" s="1"/>
  <c r="P97" i="1"/>
  <c r="S97" i="1" s="1"/>
  <c r="P98" i="1"/>
  <c r="Q98" i="1" s="1"/>
  <c r="P99" i="1"/>
  <c r="S99" i="1" s="1"/>
  <c r="P100" i="1"/>
  <c r="R100" i="1" s="1"/>
  <c r="P101" i="1"/>
  <c r="Q101" i="1" s="1"/>
  <c r="P102" i="1"/>
  <c r="S102" i="1" s="1"/>
  <c r="P103" i="1"/>
  <c r="R103" i="1" s="1"/>
  <c r="P104" i="1"/>
  <c r="Q104" i="1" s="1"/>
  <c r="P105" i="1"/>
  <c r="S105" i="1" s="1"/>
  <c r="P106" i="1"/>
  <c r="Q106" i="1" s="1"/>
  <c r="R106" i="1"/>
  <c r="P108" i="1"/>
  <c r="R108" i="1" s="1"/>
  <c r="Q108" i="1"/>
  <c r="P109" i="1"/>
  <c r="Q109" i="1" s="1"/>
  <c r="P110" i="1"/>
  <c r="Q110" i="1" s="1"/>
  <c r="P111" i="1"/>
  <c r="Q111" i="1" s="1"/>
  <c r="P112" i="1"/>
  <c r="R112" i="1" s="1"/>
  <c r="P113" i="1"/>
  <c r="Q113" i="1" s="1"/>
  <c r="P114" i="1"/>
  <c r="R114" i="1" s="1"/>
  <c r="P115" i="1"/>
  <c r="R115" i="1" s="1"/>
  <c r="P116" i="1"/>
  <c r="Q116" i="1" s="1"/>
  <c r="P117" i="1"/>
  <c r="Q117" i="1" s="1"/>
  <c r="P118" i="1"/>
  <c r="Q118" i="1" s="1"/>
  <c r="P119" i="1"/>
  <c r="Q119" i="1" s="1"/>
  <c r="R119" i="1"/>
  <c r="P120" i="1"/>
  <c r="R120" i="1" s="1"/>
  <c r="P121" i="1"/>
  <c r="S121" i="1" s="1"/>
  <c r="P122" i="1"/>
  <c r="R122" i="1" s="1"/>
  <c r="P123" i="1"/>
  <c r="Q123" i="1" s="1"/>
  <c r="P124" i="1"/>
  <c r="R124" i="1" s="1"/>
  <c r="P125" i="1"/>
  <c r="S125" i="1" s="1"/>
  <c r="P126" i="1"/>
  <c r="Q126" i="1" s="1"/>
  <c r="V111" i="1"/>
  <c r="W111" i="1"/>
  <c r="W126" i="1"/>
  <c r="V126" i="1"/>
  <c r="W125" i="1"/>
  <c r="V125" i="1"/>
  <c r="W124" i="1"/>
  <c r="V124" i="1"/>
  <c r="W123" i="1"/>
  <c r="V123" i="1"/>
  <c r="W122" i="1"/>
  <c r="V122" i="1"/>
  <c r="W121" i="1"/>
  <c r="V121" i="1"/>
  <c r="W120" i="1"/>
  <c r="V120" i="1"/>
  <c r="W119" i="1"/>
  <c r="V119" i="1"/>
  <c r="W118" i="1"/>
  <c r="V118" i="1"/>
  <c r="W117" i="1"/>
  <c r="V117" i="1"/>
  <c r="W116" i="1"/>
  <c r="V116" i="1"/>
  <c r="W115" i="1"/>
  <c r="V115" i="1"/>
  <c r="W114" i="1"/>
  <c r="V114" i="1"/>
  <c r="W113" i="1"/>
  <c r="V113" i="1"/>
  <c r="W112" i="1"/>
  <c r="V112" i="1"/>
  <c r="W110" i="1"/>
  <c r="V110" i="1"/>
  <c r="W108" i="1"/>
  <c r="V108" i="1"/>
  <c r="G108" i="1"/>
  <c r="W101" i="1"/>
  <c r="V101" i="1"/>
  <c r="G101" i="1"/>
  <c r="W100" i="1"/>
  <c r="V100" i="1"/>
  <c r="G100" i="1"/>
  <c r="W99" i="1"/>
  <c r="V99" i="1"/>
  <c r="G99" i="1"/>
  <c r="W98" i="1"/>
  <c r="V98" i="1"/>
  <c r="G98" i="1"/>
  <c r="W97" i="1"/>
  <c r="V97" i="1"/>
  <c r="G97" i="1"/>
  <c r="W96" i="1"/>
  <c r="V96" i="1"/>
  <c r="G96" i="1"/>
  <c r="G103" i="1"/>
  <c r="G104" i="1"/>
  <c r="G105" i="1"/>
  <c r="G106" i="1"/>
  <c r="G102" i="1"/>
  <c r="V109" i="1"/>
  <c r="W109" i="1"/>
  <c r="V93" i="1"/>
  <c r="W93" i="1"/>
  <c r="V94" i="1"/>
  <c r="W94" i="1"/>
  <c r="V95" i="1"/>
  <c r="W95" i="1"/>
  <c r="W106" i="1"/>
  <c r="V106" i="1"/>
  <c r="W105" i="1"/>
  <c r="V105" i="1"/>
  <c r="W104" i="1"/>
  <c r="V104" i="1"/>
  <c r="W103" i="1"/>
  <c r="V103" i="1"/>
  <c r="V102" i="1"/>
  <c r="W102" i="1"/>
  <c r="W81" i="1"/>
  <c r="W82" i="1"/>
  <c r="W83" i="1"/>
  <c r="W85" i="1"/>
  <c r="W86" i="1"/>
  <c r="W87" i="1"/>
  <c r="W88" i="1"/>
  <c r="W89" i="1"/>
  <c r="W90" i="1"/>
  <c r="W91" i="1"/>
  <c r="W92" i="1"/>
  <c r="V3" i="1"/>
  <c r="V4" i="1"/>
  <c r="V5" i="1"/>
  <c r="V7" i="1"/>
  <c r="V8" i="1"/>
  <c r="V12" i="1"/>
  <c r="V14" i="1"/>
  <c r="V15" i="1"/>
  <c r="V17" i="1"/>
  <c r="V51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W3" i="1"/>
  <c r="W4" i="1"/>
  <c r="W5" i="1"/>
  <c r="W7" i="1"/>
  <c r="W8" i="1"/>
  <c r="W12" i="1"/>
  <c r="W14" i="1"/>
  <c r="W15" i="1"/>
  <c r="W17" i="1"/>
  <c r="W51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V81" i="1"/>
  <c r="V82" i="1"/>
  <c r="V83" i="1"/>
  <c r="V85" i="1"/>
  <c r="V86" i="1"/>
  <c r="V87" i="1"/>
  <c r="V88" i="1"/>
  <c r="V89" i="1"/>
  <c r="V90" i="1"/>
  <c r="V91" i="1"/>
  <c r="V92" i="1"/>
  <c r="U2" i="1"/>
  <c r="W2" i="1" s="1"/>
  <c r="T2" i="1"/>
  <c r="V2" i="1" s="1"/>
  <c r="U27" i="1"/>
  <c r="W27" i="1" s="1"/>
  <c r="U26" i="1"/>
  <c r="W26" i="1"/>
  <c r="U25" i="1"/>
  <c r="W25" i="1" s="1"/>
  <c r="U24" i="1"/>
  <c r="W24" i="1" s="1"/>
  <c r="U23" i="1"/>
  <c r="W23" i="1" s="1"/>
  <c r="U22" i="1"/>
  <c r="W22" i="1" s="1"/>
  <c r="U21" i="1"/>
  <c r="W21" i="1" s="1"/>
  <c r="U20" i="1"/>
  <c r="W20" i="1" s="1"/>
  <c r="U19" i="1"/>
  <c r="W19" i="1" s="1"/>
  <c r="U18" i="1"/>
  <c r="W18" i="1" s="1"/>
  <c r="T27" i="1"/>
  <c r="V27" i="1" s="1"/>
  <c r="T26" i="1"/>
  <c r="V26" i="1" s="1"/>
  <c r="T25" i="1"/>
  <c r="V25" i="1" s="1"/>
  <c r="T24" i="1"/>
  <c r="V24" i="1" s="1"/>
  <c r="T23" i="1"/>
  <c r="V23" i="1" s="1"/>
  <c r="T22" i="1"/>
  <c r="V22" i="1" s="1"/>
  <c r="T21" i="1"/>
  <c r="V21" i="1" s="1"/>
  <c r="T20" i="1"/>
  <c r="V20" i="1"/>
  <c r="T19" i="1"/>
  <c r="V19" i="1" s="1"/>
  <c r="T18" i="1"/>
  <c r="V18" i="1" s="1"/>
  <c r="T16" i="1"/>
  <c r="V16" i="1" s="1"/>
  <c r="T13" i="1"/>
  <c r="V13" i="1" s="1"/>
  <c r="T6" i="1"/>
  <c r="V6" i="1" s="1"/>
  <c r="T11" i="1"/>
  <c r="V11" i="1" s="1"/>
  <c r="T10" i="1"/>
  <c r="V10" i="1" s="1"/>
  <c r="T9" i="1"/>
  <c r="V9" i="1" s="1"/>
  <c r="U11" i="1"/>
  <c r="W11" i="1" s="1"/>
  <c r="U10" i="1"/>
  <c r="W10" i="1" s="1"/>
  <c r="U9" i="1"/>
  <c r="W9" i="1"/>
  <c r="U6" i="1"/>
  <c r="W6" i="1" s="1"/>
  <c r="U13" i="1"/>
  <c r="W13" i="1" s="1"/>
  <c r="U16" i="1"/>
  <c r="W16" i="1" s="1"/>
  <c r="S142" i="1"/>
  <c r="S141" i="1"/>
  <c r="R144" i="1"/>
  <c r="R141" i="1"/>
  <c r="R80" i="1"/>
  <c r="S55" i="1"/>
  <c r="Q55" i="1"/>
  <c r="Q145" i="1" l="1"/>
  <c r="R51" i="1"/>
  <c r="R126" i="1"/>
  <c r="Q40" i="1"/>
  <c r="Q3" i="1"/>
  <c r="S62" i="1"/>
  <c r="R62" i="1"/>
  <c r="S114" i="1"/>
  <c r="Q50" i="1"/>
  <c r="R58" i="1"/>
  <c r="R139" i="1"/>
  <c r="S139" i="1"/>
  <c r="R47" i="1"/>
  <c r="R36" i="1"/>
  <c r="S36" i="1"/>
  <c r="R82" i="1"/>
  <c r="S31" i="1"/>
  <c r="S41" i="1"/>
  <c r="Q19" i="1"/>
  <c r="R45" i="1"/>
  <c r="Q2" i="1"/>
  <c r="R13" i="1"/>
  <c r="S98" i="1"/>
  <c r="Q121" i="1"/>
  <c r="R98" i="1"/>
  <c r="Q13" i="1"/>
  <c r="S118" i="1"/>
  <c r="R11" i="1"/>
  <c r="S11" i="1"/>
  <c r="Q48" i="1"/>
  <c r="S3" i="1"/>
  <c r="Q15" i="1"/>
  <c r="Q5" i="1"/>
  <c r="Q82" i="1"/>
  <c r="Q97" i="1"/>
  <c r="S81" i="1"/>
  <c r="Q122" i="1"/>
  <c r="Q99" i="1"/>
  <c r="Q60" i="1"/>
  <c r="Q47" i="1"/>
  <c r="S2" i="1"/>
  <c r="R21" i="1"/>
  <c r="Q4" i="1"/>
  <c r="S68" i="1"/>
  <c r="Q130" i="1"/>
  <c r="Q132" i="1"/>
  <c r="Q134" i="1"/>
  <c r="R134" i="1"/>
  <c r="S130" i="1"/>
  <c r="S132" i="1"/>
  <c r="R10" i="1"/>
  <c r="S126" i="1"/>
  <c r="R50" i="1"/>
  <c r="Q135" i="1"/>
  <c r="Q52" i="1"/>
  <c r="Q131" i="1"/>
  <c r="R131" i="1"/>
  <c r="R133" i="1"/>
  <c r="R135" i="1"/>
  <c r="Q133" i="1"/>
  <c r="R19" i="1"/>
  <c r="S46" i="1"/>
  <c r="R111" i="1"/>
  <c r="Q125" i="1"/>
  <c r="R125" i="1"/>
  <c r="R117" i="1"/>
  <c r="R32" i="1"/>
  <c r="R44" i="1"/>
  <c r="S53" i="1"/>
  <c r="R18" i="1"/>
  <c r="Q90" i="1"/>
  <c r="R102" i="1"/>
  <c r="S92" i="1"/>
  <c r="Q18" i="1"/>
  <c r="Q91" i="1"/>
  <c r="R54" i="1"/>
  <c r="S27" i="1"/>
  <c r="Q120" i="1"/>
  <c r="R110" i="1"/>
  <c r="Q100" i="1"/>
  <c r="Q67" i="1"/>
  <c r="S44" i="1"/>
  <c r="Q34" i="1"/>
  <c r="Q6" i="1"/>
  <c r="Q84" i="1"/>
  <c r="S26" i="1"/>
  <c r="S8" i="1"/>
  <c r="R90" i="1"/>
  <c r="S124" i="1"/>
  <c r="S5" i="1"/>
  <c r="S57" i="1"/>
  <c r="R91" i="1"/>
  <c r="Q124" i="1"/>
  <c r="Q105" i="1"/>
  <c r="Q46" i="1"/>
  <c r="R37" i="1"/>
  <c r="Q29" i="1"/>
  <c r="Q112" i="1"/>
  <c r="Q83" i="1"/>
  <c r="S25" i="1"/>
  <c r="R16" i="1"/>
  <c r="S17" i="1"/>
  <c r="S65" i="1"/>
  <c r="S9" i="1"/>
  <c r="R17" i="1"/>
  <c r="R81" i="1"/>
  <c r="S51" i="1"/>
  <c r="Q25" i="1"/>
  <c r="S112" i="1"/>
  <c r="S103" i="1"/>
  <c r="Q31" i="1"/>
  <c r="S111" i="1"/>
  <c r="Q32" i="1"/>
  <c r="R84" i="1"/>
  <c r="R97" i="1"/>
  <c r="Q86" i="1"/>
  <c r="Q53" i="1"/>
  <c r="R40" i="1"/>
  <c r="Q43" i="1"/>
  <c r="R15" i="1"/>
  <c r="S60" i="1"/>
  <c r="S110" i="1"/>
  <c r="R29" i="1"/>
  <c r="R64" i="1"/>
  <c r="S145" i="1"/>
  <c r="Q16" i="1"/>
  <c r="R104" i="1"/>
  <c r="S56" i="1"/>
  <c r="R118" i="1"/>
  <c r="S43" i="1"/>
  <c r="Q80" i="1"/>
  <c r="R113" i="1"/>
  <c r="S104" i="1"/>
  <c r="S85" i="1"/>
  <c r="R65" i="1"/>
  <c r="Q26" i="1"/>
  <c r="R171" i="1"/>
  <c r="Q171" i="1"/>
  <c r="S171" i="1"/>
  <c r="R39" i="1"/>
  <c r="R30" i="1"/>
  <c r="S89" i="1"/>
  <c r="R88" i="1"/>
  <c r="Q38" i="1"/>
  <c r="Q23" i="1"/>
  <c r="Q8" i="1"/>
  <c r="S95" i="1"/>
  <c r="S88" i="1"/>
  <c r="R93" i="1"/>
  <c r="Q20" i="1"/>
  <c r="Q103" i="1"/>
  <c r="R38" i="1"/>
  <c r="R9" i="1"/>
  <c r="S24" i="1"/>
  <c r="S22" i="1"/>
  <c r="R52" i="1"/>
  <c r="Q95" i="1"/>
  <c r="R23" i="1"/>
  <c r="S64" i="1"/>
  <c r="S119" i="1"/>
  <c r="R4" i="1"/>
  <c r="S66" i="1"/>
  <c r="Q54" i="1"/>
  <c r="Q102" i="1"/>
  <c r="S37" i="1"/>
  <c r="R96" i="1"/>
  <c r="R105" i="1"/>
  <c r="R83" i="1"/>
  <c r="S12" i="1"/>
  <c r="R89" i="1"/>
  <c r="S113" i="1"/>
  <c r="S120" i="1"/>
  <c r="S6" i="1"/>
  <c r="S122" i="1"/>
  <c r="Q96" i="1"/>
  <c r="R24" i="1"/>
  <c r="Q115" i="1"/>
  <c r="Q114" i="1"/>
  <c r="R85" i="1"/>
  <c r="S39" i="1"/>
  <c r="Q70" i="1"/>
  <c r="R70" i="1"/>
  <c r="S70" i="1"/>
  <c r="R170" i="1"/>
  <c r="S170" i="1"/>
  <c r="Q170" i="1"/>
  <c r="Q69" i="1"/>
  <c r="Q28" i="1"/>
  <c r="R35" i="1"/>
  <c r="R28" i="1"/>
  <c r="R61" i="1"/>
  <c r="Q61" i="1"/>
  <c r="S100" i="1"/>
  <c r="Q49" i="1"/>
  <c r="S106" i="1"/>
  <c r="Q59" i="1"/>
  <c r="S20" i="1"/>
  <c r="Q35" i="1"/>
  <c r="S48" i="1"/>
  <c r="Q27" i="1"/>
  <c r="R99" i="1"/>
  <c r="S123" i="1"/>
  <c r="S59" i="1"/>
  <c r="R109" i="1"/>
  <c r="S58" i="1"/>
  <c r="R87" i="1"/>
  <c r="S109" i="1"/>
  <c r="R92" i="1"/>
  <c r="S117" i="1"/>
  <c r="S42" i="1"/>
  <c r="R63" i="1"/>
  <c r="Q33" i="1"/>
  <c r="R56" i="1"/>
  <c r="S63" i="1"/>
  <c r="S101" i="1"/>
  <c r="R121" i="1"/>
  <c r="S34" i="1"/>
  <c r="Q94" i="1"/>
  <c r="R42" i="1"/>
  <c r="S7" i="1"/>
  <c r="S116" i="1"/>
  <c r="Q7" i="1"/>
  <c r="S108" i="1"/>
  <c r="S69" i="1"/>
  <c r="S86" i="1"/>
  <c r="Q14" i="1"/>
  <c r="R101" i="1"/>
  <c r="R123" i="1"/>
  <c r="S93" i="1"/>
  <c r="S87" i="1"/>
  <c r="R116" i="1"/>
  <c r="Q21" i="1"/>
  <c r="S67" i="1"/>
  <c r="R94" i="1"/>
  <c r="S115" i="1"/>
  <c r="Q41" i="1"/>
  <c r="Q57" i="1"/>
  <c r="R49" i="1"/>
  <c r="R68" i="1"/>
  <c r="R14" i="1"/>
</calcChain>
</file>

<file path=xl/sharedStrings.xml><?xml version="1.0" encoding="utf-8"?>
<sst xmlns="http://schemas.openxmlformats.org/spreadsheetml/2006/main" count="1462" uniqueCount="242">
  <si>
    <t>PeakgroupNames</t>
  </si>
  <si>
    <t>PeakNames</t>
  </si>
  <si>
    <t>Defect_WN</t>
  </si>
  <si>
    <t>PeakRangeMin</t>
  </si>
  <si>
    <t>PeakRangeMax</t>
  </si>
  <si>
    <t>PeakShift_minus</t>
  </si>
  <si>
    <t>PeakShift_plus</t>
  </si>
  <si>
    <t>MolarAbsCoeffs</t>
  </si>
  <si>
    <t>LinAbsCoeffs</t>
  </si>
  <si>
    <t>PeakIntensityA</t>
  </si>
  <si>
    <t>PeakIntensityB</t>
  </si>
  <si>
    <t>PeakIntensityC</t>
  </si>
  <si>
    <t>Element</t>
  </si>
  <si>
    <t>Comment</t>
  </si>
  <si>
    <t>CPX</t>
  </si>
  <si>
    <t>Balan et al. (2020)</t>
  </si>
  <si>
    <t>(Al3+ ,H+ )×Si</t>
  </si>
  <si>
    <t>Al</t>
  </si>
  <si>
    <t>(Fe3+ ,H+ )×Si</t>
  </si>
  <si>
    <t>Fe</t>
  </si>
  <si>
    <t>[(1H+ )M2 (Ti4+ )M1 (Al3+ )Si ]× _a</t>
  </si>
  <si>
    <t>Ti</t>
  </si>
  <si>
    <t>[(2H+ )M2 (Al3+ )M1 (Al3+ )Si ]×</t>
  </si>
  <si>
    <t>[(1H+ )M2 (Ti4+ )M1 (Al3+ )Si ]× _b</t>
  </si>
  <si>
    <t>[(1H+ )M2 (Al3+ )M1 ]× _1</t>
  </si>
  <si>
    <t>[(1H+ )M2 (Ti3+ )M1 ]× _1</t>
  </si>
  <si>
    <t>[(1H+ )M2 (Cr3+ )M1 ]× _1</t>
  </si>
  <si>
    <t>Cr</t>
  </si>
  <si>
    <t>[(1H+ )M2 (Fe3+ )M1 ]× _1</t>
  </si>
  <si>
    <t>[(1H+ )M2 (Al3+ )M1 ]× _2</t>
  </si>
  <si>
    <t>[(2H+ )Si (Ti4+ )M1 ]× (uα &gt; uβ)</t>
  </si>
  <si>
    <t>(Na+ ,H+ )×M2</t>
  </si>
  <si>
    <t>Na</t>
  </si>
  <si>
    <t>[(1H+ )M2 (Cr3+ )M1 ]× _2</t>
  </si>
  <si>
    <t>[(1H+ )M2 (Ti3+ )M1 ]× _2</t>
  </si>
  <si>
    <t>[(1H+ )M2 (Fe3+ )M1 ]× _2</t>
  </si>
  <si>
    <t>Si</t>
  </si>
  <si>
    <t>OH-</t>
  </si>
  <si>
    <t>no ref</t>
  </si>
  <si>
    <t>H2O (molecular)</t>
  </si>
  <si>
    <t>Melt Inclusion</t>
  </si>
  <si>
    <t>Granitic  Melt</t>
  </si>
  <si>
    <t>Glass</t>
  </si>
  <si>
    <t>Fe-bearing andesitic glasses Mandeville et al. (2002)</t>
  </si>
  <si>
    <t>e5200 = 1.07 ± 0.07 L/mol·cm (Fig. 2b). 5200 cm–1 (H2O molecular ),</t>
  </si>
  <si>
    <t xml:space="preserve"> e4500 = 0.79 ± 0.07 L/mol·cm 4500 cm–1 (water dissolved as hydroxyl groups)</t>
  </si>
  <si>
    <t xml:space="preserve"> e1630 = 42.34 ± 2.77 L/mol·cm molecular water absorbance peak at 1630 cm–1</t>
  </si>
  <si>
    <t>H2O total</t>
  </si>
  <si>
    <t>62.32 ± 0.42  total H2O absorbance peak at 3570 cm–1</t>
  </si>
  <si>
    <t>Fe-free andesitic glasses  Mandeville et al. (2002)</t>
  </si>
  <si>
    <t>e5200 =1.46 ± 0.07 L/mol·cm (Fig. 2b). 5200 cm–1 (H2O molecular ),</t>
  </si>
  <si>
    <t xml:space="preserve"> e4500 =0.89 ± 0.07 L/mol·cm 4500 cm–1 (water dissolved as hydroxyl groups)</t>
  </si>
  <si>
    <t xml:space="preserve"> e1630 =52.05 ± 2.85 L/mol·cm L/mol·cm molecular water absorbance peak at 1630 cm–1</t>
  </si>
  <si>
    <t>69.21 ± 0.52 total H2O absorbance peak at 3570 cm–1</t>
  </si>
  <si>
    <t>Basaltic to Basaltic-Andesite glasses Pandya et al. (1992)</t>
  </si>
  <si>
    <t>Pandya et al. (1992) for basaltic to basaltic-andesite glasses (61 ± 1 L/ mol·cm),</t>
  </si>
  <si>
    <t>Icelandite (Fe-rich andesite)  Jakobsson (1997)</t>
  </si>
  <si>
    <t>Jakobsson (1997) for an icelandite (Fe-rich andesite) composition (e4500 = 0.95 ± 0.10 L/mol·cm, e5200 = 1.25 ± 0.05 L/mol·cm, and e1630 = 42 ± 2 L/mol·cm)</t>
  </si>
  <si>
    <t>Mt. Hood andesite King (1999)</t>
  </si>
  <si>
    <t>e3570 = 70.32 ± 6.86 L/mol·cm, e4500 = 1.15 ± 0.17 L/mol·cm)</t>
  </si>
  <si>
    <t>Glass King (1999)</t>
  </si>
  <si>
    <t>e5200 = 1.08 ± 0.11 L/mol·cm, and 40.83 ± 4.12 L/mol·cm for e1630; see King 1999 for glass compositions and Eggler and Burnham 1973 for bulk composition)</t>
  </si>
  <si>
    <t xml:space="preserve">Fe-free Glass Yamashita et al. (1997) </t>
  </si>
  <si>
    <t>Yamashita et al. (1997)  Fe-free composition (e3570 = 68 ±1.0 L/mol·cm, e4500 = 0.94 ± 0.06 L/mol·cm, and e5200 = 1.6 ± 0.3 L/mol·cm)</t>
  </si>
  <si>
    <t>QuantFactor_alpha</t>
  </si>
  <si>
    <t>QuantFactor_beta</t>
  </si>
  <si>
    <t>QuantFactor_gamma</t>
  </si>
  <si>
    <t>Density</t>
  </si>
  <si>
    <t>QuantFactor_total</t>
  </si>
  <si>
    <t>Rutile</t>
  </si>
  <si>
    <t xml:space="preserve">Maldener et al. (2001) </t>
  </si>
  <si>
    <t>Peak1</t>
  </si>
  <si>
    <t>Peak2</t>
  </si>
  <si>
    <t>Peak3</t>
  </si>
  <si>
    <t>Peak4</t>
  </si>
  <si>
    <t>Peak5</t>
  </si>
  <si>
    <t>CPX_NG_Eclogites</t>
  </si>
  <si>
    <t>[(1H+ )M2 (X3+ )M1 ]× _2</t>
  </si>
  <si>
    <t>[(2H+ )M2 (X+ )M1 (X+ )Si ]×</t>
  </si>
  <si>
    <t>((Al,Fe)3+ ,H+ )×Si</t>
  </si>
  <si>
    <t>CPX_NG_Group1</t>
  </si>
  <si>
    <t>Kyanite</t>
  </si>
  <si>
    <t>Bell et al. (2004)</t>
  </si>
  <si>
    <t>(Na+ ,H+ )×M2 ro M2 [ ]</t>
  </si>
  <si>
    <t>Inclusion</t>
  </si>
  <si>
    <t>Clinochlor inclusion</t>
  </si>
  <si>
    <t>Id</t>
  </si>
  <si>
    <t>Erel_kJ_mol_1</t>
  </si>
  <si>
    <t>dOH_a</t>
  </si>
  <si>
    <t>PeakPosition</t>
  </si>
  <si>
    <t>PeakShift</t>
  </si>
  <si>
    <t>Clinochlor</t>
  </si>
  <si>
    <t>RefPeakPosition</t>
  </si>
  <si>
    <t>M2</t>
  </si>
  <si>
    <t>M1</t>
  </si>
  <si>
    <t>(1H+ )′M2</t>
  </si>
  <si>
    <t xml:space="preserve">(4H+ )×Si </t>
  </si>
  <si>
    <t>(2H+ )×M1 (uα, uγ )</t>
  </si>
  <si>
    <t xml:space="preserve">(2H+ )×M1 (uβ) </t>
  </si>
  <si>
    <t xml:space="preserve">(2H+ )×M2 (uα, uγ ) </t>
  </si>
  <si>
    <t>(2H+ )×M2 (uβ)</t>
  </si>
  <si>
    <t>[(2H+ )Si (Ti4+ )M1 ]× (uγ )</t>
  </si>
  <si>
    <t>CPX_NG_Group2</t>
  </si>
  <si>
    <t>Amphibole inclusion 1</t>
  </si>
  <si>
    <t>Amphibole inclusion 2</t>
  </si>
  <si>
    <t>Amphibole</t>
  </si>
  <si>
    <t>Hydrous phases</t>
  </si>
  <si>
    <t>Chlorite</t>
  </si>
  <si>
    <t>Mica</t>
  </si>
  <si>
    <t>Antigorite</t>
  </si>
  <si>
    <t>Ti-Clinohumit</t>
  </si>
  <si>
    <t>Epidote</t>
  </si>
  <si>
    <t>Use2Quant</t>
  </si>
  <si>
    <t>LineStyle</t>
  </si>
  <si>
    <t>LineWidth</t>
  </si>
  <si>
    <t>R</t>
  </si>
  <si>
    <t>G</t>
  </si>
  <si>
    <t>B</t>
  </si>
  <si>
    <t>Ti3+</t>
  </si>
  <si>
    <t>Fe3+</t>
  </si>
  <si>
    <t>Al3+</t>
  </si>
  <si>
    <t>Fe2+</t>
  </si>
  <si>
    <t>Cr2+</t>
  </si>
  <si>
    <t>Mg2+</t>
  </si>
  <si>
    <t>Garnet</t>
  </si>
  <si>
    <t>Zoisite</t>
  </si>
  <si>
    <t>PeakName</t>
  </si>
  <si>
    <t>Integrated Molar Abs. Coeff: I [L/(mol.cm2))</t>
  </si>
  <si>
    <t>Element involed in Defect</t>
  </si>
  <si>
    <t>Reference</t>
  </si>
  <si>
    <t>Pyrope</t>
  </si>
  <si>
    <t>Hydrogrossular</t>
  </si>
  <si>
    <t>Grossular</t>
  </si>
  <si>
    <t>Active</t>
  </si>
  <si>
    <t>FaceAlpha</t>
  </si>
  <si>
    <t>A-</t>
  </si>
  <si>
    <t>Spessartine_1</t>
  </si>
  <si>
    <t>Spessartine_2</t>
  </si>
  <si>
    <t>Olivine</t>
  </si>
  <si>
    <t>Ti Cl-Hum 1</t>
  </si>
  <si>
    <t>Ti Cl-Hum 2</t>
  </si>
  <si>
    <t>Olivine Group 1</t>
  </si>
  <si>
    <t>Trivalent</t>
  </si>
  <si>
    <t>Si vacancy</t>
  </si>
  <si>
    <t>Mg vacancy</t>
  </si>
  <si>
    <t>Berry Olivine</t>
  </si>
  <si>
    <t>Tollan18</t>
  </si>
  <si>
    <t>([Ti])</t>
  </si>
  <si>
    <t>([triv])</t>
  </si>
  <si>
    <t>([Mg])</t>
  </si>
  <si>
    <t>([Si])</t>
  </si>
  <si>
    <t>Tollan (2018)</t>
  </si>
  <si>
    <t>Quartz</t>
  </si>
  <si>
    <t>3699 - part of phyllosilicate peak triplet;</t>
  </si>
  <si>
    <t>3653 - part of phyllosilicate peak triplet;</t>
  </si>
  <si>
    <t>3624 - part of phyllosilicate peak triplet;</t>
  </si>
  <si>
    <r>
      <t>3596 - H</t>
    </r>
    <r>
      <rPr>
        <vertAlign val="superscript"/>
        <sz val="12"/>
        <color indexed="8"/>
        <rFont val="Times New Roman"/>
        <family val="1"/>
      </rPr>
      <t>+</t>
    </r>
    <r>
      <rPr>
        <sz val="12"/>
        <color indexed="8"/>
        <rFont val="Times New Roman"/>
        <family val="1"/>
      </rPr>
      <t xml:space="preserve"> compensating for charge near Al</t>
    </r>
    <r>
      <rPr>
        <vertAlign val="superscript"/>
        <sz val="12"/>
        <color indexed="8"/>
        <rFont val="Times New Roman"/>
        <family val="1"/>
      </rPr>
      <t>3+</t>
    </r>
    <r>
      <rPr>
        <sz val="12"/>
        <color indexed="8"/>
        <rFont val="Times New Roman"/>
        <family val="1"/>
      </rPr>
      <t xml:space="preserve"> substituting for Si</t>
    </r>
    <r>
      <rPr>
        <vertAlign val="superscript"/>
        <sz val="12"/>
        <color indexed="8"/>
        <rFont val="Times New Roman"/>
        <family val="1"/>
      </rPr>
      <t>4+</t>
    </r>
    <r>
      <rPr>
        <sz val="12"/>
        <color indexed="8"/>
        <rFont val="Times New Roman"/>
        <family val="1"/>
      </rPr>
      <t>;</t>
    </r>
  </si>
  <si>
    <r>
      <t>3585 - OH</t>
    </r>
    <r>
      <rPr>
        <vertAlign val="superscript"/>
        <sz val="12"/>
        <color indexed="8"/>
        <rFont val="Times New Roman"/>
        <family val="1"/>
      </rPr>
      <t>-</t>
    </r>
    <r>
      <rPr>
        <sz val="12"/>
        <color indexed="8"/>
        <rFont val="Times New Roman"/>
        <family val="1"/>
      </rPr>
      <t xml:space="preserve"> structurally bound in dislocation cores;</t>
    </r>
  </si>
  <si>
    <t>3467 - ?</t>
  </si>
  <si>
    <t>3429 - (1) Al-triplet;</t>
  </si>
  <si>
    <t>3379 - (2) Al-triplet;</t>
  </si>
  <si>
    <t>3319 - (3) Al-triplet.</t>
  </si>
  <si>
    <t>Quartz_Group1</t>
  </si>
  <si>
    <t>Ti point defect</t>
  </si>
  <si>
    <t>Ti planar defect</t>
  </si>
  <si>
    <t>Fe3+ defect</t>
  </si>
  <si>
    <t>Fluid Inclusion</t>
  </si>
  <si>
    <t>H2O</t>
  </si>
  <si>
    <t>Jollands (2020)</t>
  </si>
  <si>
    <t>H+</t>
  </si>
  <si>
    <t>–</t>
  </si>
  <si>
    <t>Griggs_1</t>
  </si>
  <si>
    <t>H2: 0.989, H1: 0.983</t>
  </si>
  <si>
    <t>(Al,OH)_2</t>
  </si>
  <si>
    <t>(4H)Si×</t>
  </si>
  <si>
    <t>H1: 0.983, H2: 0.986, H3: 0.987, H4: 0.972</t>
  </si>
  <si>
    <t>(Al,OH)_1</t>
  </si>
  <si>
    <t>H2O (interstitial)</t>
  </si>
  <si>
    <t>0.984, 0.979</t>
  </si>
  <si>
    <t>OH− (Griggs_1_H2)</t>
  </si>
  <si>
    <t>(Li,OH)_1</t>
  </si>
  <si>
    <t>Li</t>
  </si>
  <si>
    <t>Griggs_2</t>
  </si>
  <si>
    <t>H1: 0.975, H2: 0.971</t>
  </si>
  <si>
    <t>OH−(Griggs_1_H1)</t>
  </si>
  <si>
    <t>OH− (Griggs_2_H1)</t>
  </si>
  <si>
    <t>(B,OH)_1</t>
  </si>
  <si>
    <t>(B,OH)_2</t>
  </si>
  <si>
    <t>OH− (Griggs_2_H2)</t>
  </si>
  <si>
    <t>(Li,OH)_2</t>
  </si>
  <si>
    <t>Rutile Group 1</t>
  </si>
  <si>
    <t>Rutile Group 2</t>
  </si>
  <si>
    <t>V3+</t>
  </si>
  <si>
    <t>Almandine</t>
  </si>
  <si>
    <t xml:space="preserve">symmetric stretching of molecular H2O </t>
  </si>
  <si>
    <t xml:space="preserve">asymmetric stretching of molecular H2O </t>
  </si>
  <si>
    <t>Pyroxene</t>
  </si>
  <si>
    <t>AA Eclogite</t>
  </si>
  <si>
    <t>Si-O Overtone</t>
  </si>
  <si>
    <t xml:space="preserve">Si-O Overtone </t>
  </si>
  <si>
    <t>Clinochlore?</t>
  </si>
  <si>
    <t>NMBE 9404</t>
  </si>
  <si>
    <t>A83</t>
  </si>
  <si>
    <t xml:space="preserve">Java Augite </t>
  </si>
  <si>
    <t>C?</t>
  </si>
  <si>
    <t>OPX</t>
  </si>
  <si>
    <t>M2+</t>
  </si>
  <si>
    <t>(4H+ )×Si ?</t>
  </si>
  <si>
    <t>[(1H+ )M2 (M3+ )M1 ]  (Ti/Al/Cr/Fe)</t>
  </si>
  <si>
    <t>(Cr3+ ,H+ )×Si</t>
  </si>
  <si>
    <t>[(1H+ )M2 (Al3+ )M1 ]</t>
  </si>
  <si>
    <t>Diopside</t>
  </si>
  <si>
    <t>MineralNames</t>
  </si>
  <si>
    <t>Aetna Augite</t>
  </si>
  <si>
    <t>SortID</t>
  </si>
  <si>
    <t>ColorPreview</t>
  </si>
  <si>
    <t>Diopside Binntal</t>
  </si>
  <si>
    <t>alpha</t>
  </si>
  <si>
    <t>beta</t>
  </si>
  <si>
    <t>gamma</t>
  </si>
  <si>
    <t>F-Olivine</t>
  </si>
  <si>
    <t>([F])</t>
  </si>
  <si>
    <t>Carbonate</t>
  </si>
  <si>
    <t>Calcite</t>
  </si>
  <si>
    <t>Aragonite</t>
  </si>
  <si>
    <t>Dolomite</t>
  </si>
  <si>
    <t>Magnesite</t>
  </si>
  <si>
    <t>Siderite</t>
  </si>
  <si>
    <t>Belemnite</t>
  </si>
  <si>
    <t>carbonyl</t>
  </si>
  <si>
    <t>CO3V_1+V_4</t>
  </si>
  <si>
    <t>CO3V_3?</t>
  </si>
  <si>
    <t>CC?</t>
  </si>
  <si>
    <t>CO2</t>
  </si>
  <si>
    <t>H_2O</t>
  </si>
  <si>
    <t>C-H</t>
  </si>
  <si>
    <t>CO3V_1+V_3</t>
  </si>
  <si>
    <t>Quartz_Group2</t>
  </si>
  <si>
    <t>Quartz_Group3</t>
  </si>
  <si>
    <t>LiOH</t>
  </si>
  <si>
    <t>AlOH</t>
  </si>
  <si>
    <t>BOH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</si>
</sst>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5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sz val="12"/>
      <color indexed="8"/>
      <name val="Times New Roman"/>
      <family val="1"/>
    </font>
    <font>
      <vertAlign val="superscript"/>
      <sz val="12"/>
      <color indexed="8"/>
      <name val="Times New Roman"/>
      <family val="1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FA7D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rgb="FF000000"/>
      <name val="Aptos Narrow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E65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03191"/>
        <bgColor indexed="64"/>
      </patternFill>
    </fill>
    <fill>
      <patternFill patternType="solid">
        <fgColor rgb="FF248C43"/>
        <bgColor indexed="64"/>
      </patternFill>
    </fill>
    <fill>
      <patternFill patternType="solid">
        <fgColor rgb="FF2C97FF"/>
        <bgColor indexed="64"/>
      </patternFill>
    </fill>
    <fill>
      <patternFill patternType="solid">
        <fgColor rgb="FF666766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139FFF"/>
        <bgColor indexed="64"/>
      </patternFill>
    </fill>
    <fill>
      <patternFill patternType="solid">
        <fgColor rgb="FFEDB12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A2142F"/>
        <bgColor indexed="64"/>
      </patternFill>
    </fill>
    <fill>
      <patternFill patternType="solid">
        <fgColor rgb="FFFF661A"/>
        <bgColor indexed="64"/>
      </patternFill>
    </fill>
    <fill>
      <patternFill patternType="solid">
        <fgColor rgb="FFB24C1A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64D413"/>
        <bgColor indexed="64"/>
      </patternFill>
    </fill>
    <fill>
      <patternFill patternType="solid">
        <fgColor rgb="FFD9531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6" fillId="26" borderId="0" applyNumberFormat="0" applyBorder="0" applyAlignment="0" applyProtection="0"/>
    <xf numFmtId="0" fontId="7" fillId="27" borderId="1" applyNumberFormat="0" applyAlignment="0" applyProtection="0"/>
    <xf numFmtId="0" fontId="8" fillId="28" borderId="2" applyNumberFormat="0" applyAlignment="0" applyProtection="0"/>
    <xf numFmtId="0" fontId="9" fillId="0" borderId="0" applyNumberFormat="0" applyFill="0" applyBorder="0" applyAlignment="0" applyProtection="0"/>
    <xf numFmtId="0" fontId="10" fillId="2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30" borderId="1" applyNumberFormat="0" applyAlignment="0" applyProtection="0"/>
    <xf numFmtId="0" fontId="15" fillId="0" borderId="6" applyNumberFormat="0" applyFill="0" applyAlignment="0" applyProtection="0"/>
    <xf numFmtId="0" fontId="16" fillId="31" borderId="0" applyNumberFormat="0" applyBorder="0" applyAlignment="0" applyProtection="0"/>
    <xf numFmtId="0" fontId="4" fillId="32" borderId="7" applyNumberFormat="0" applyFont="0" applyAlignment="0" applyProtection="0"/>
    <xf numFmtId="0" fontId="17" fillId="27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0" fillId="33" borderId="0" xfId="0" applyFill="1"/>
    <xf numFmtId="0" fontId="0" fillId="34" borderId="0" xfId="0" applyFill="1"/>
    <xf numFmtId="0" fontId="0" fillId="0" borderId="0" xfId="0" quotePrefix="1"/>
    <xf numFmtId="0" fontId="0" fillId="35" borderId="0" xfId="0" applyFill="1"/>
    <xf numFmtId="0" fontId="5" fillId="0" borderId="0" xfId="0" applyFont="1"/>
    <xf numFmtId="0" fontId="0" fillId="36" borderId="0" xfId="0" applyFill="1"/>
    <xf numFmtId="1" fontId="0" fillId="0" borderId="0" xfId="0" applyNumberFormat="1"/>
    <xf numFmtId="164" fontId="0" fillId="0" borderId="0" xfId="0" applyNumberFormat="1"/>
    <xf numFmtId="0" fontId="0" fillId="37" borderId="0" xfId="0" applyFill="1"/>
    <xf numFmtId="0" fontId="21" fillId="0" borderId="0" xfId="0" applyFont="1"/>
    <xf numFmtId="0" fontId="0" fillId="38" borderId="0" xfId="0" applyFill="1"/>
    <xf numFmtId="0" fontId="22" fillId="0" borderId="0" xfId="0" applyFont="1"/>
    <xf numFmtId="0" fontId="0" fillId="39" borderId="0" xfId="0" applyFill="1"/>
    <xf numFmtId="0" fontId="0" fillId="40" borderId="0" xfId="0" applyFill="1"/>
    <xf numFmtId="1" fontId="0" fillId="40" borderId="0" xfId="0" applyNumberFormat="1" applyFill="1"/>
    <xf numFmtId="164" fontId="0" fillId="40" borderId="0" xfId="0" applyNumberFormat="1" applyFill="1"/>
    <xf numFmtId="0" fontId="0" fillId="41" borderId="0" xfId="0" applyFill="1"/>
    <xf numFmtId="1" fontId="0" fillId="41" borderId="0" xfId="0" applyNumberFormat="1" applyFill="1"/>
    <xf numFmtId="164" fontId="0" fillId="41" borderId="0" xfId="0" applyNumberFormat="1" applyFill="1"/>
    <xf numFmtId="0" fontId="0" fillId="41" borderId="0" xfId="0" quotePrefix="1" applyFill="1"/>
    <xf numFmtId="1" fontId="0" fillId="36" borderId="0" xfId="0" applyNumberFormat="1" applyFill="1"/>
    <xf numFmtId="164" fontId="0" fillId="36" borderId="0" xfId="0" applyNumberFormat="1" applyFill="1"/>
    <xf numFmtId="0" fontId="0" fillId="36" borderId="0" xfId="0" quotePrefix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23" fillId="0" borderId="0" xfId="0" applyFont="1"/>
    <xf numFmtId="165" fontId="23" fillId="0" borderId="0" xfId="0" applyNumberFormat="1" applyFont="1"/>
    <xf numFmtId="165" fontId="24" fillId="0" borderId="0" xfId="0" applyNumberFormat="1" applyFon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336"/>
  <sheetViews>
    <sheetView tabSelected="1" topLeftCell="A128" zoomScale="125" zoomScaleNormal="116" workbookViewId="0">
      <selection activeCell="AB177" sqref="AB177:AD177"/>
    </sheetView>
  </sheetViews>
  <sheetFormatPr baseColWidth="10" defaultRowHeight="16" x14ac:dyDescent="0.2"/>
  <cols>
    <col min="2" max="2" width="14.33203125" bestFit="1" customWidth="1"/>
    <col min="3" max="3" width="11.5" bestFit="1" customWidth="1"/>
    <col min="4" max="4" width="8.83203125" bestFit="1" customWidth="1"/>
    <col min="5" max="5" width="13.33203125" bestFit="1" customWidth="1"/>
    <col min="6" max="6" width="21.1640625" customWidth="1"/>
    <col min="7" max="7" width="58.5" bestFit="1" customWidth="1"/>
    <col min="8" max="8" width="10.6640625" customWidth="1"/>
    <col min="9" max="9" width="11.33203125" customWidth="1"/>
    <col min="10" max="10" width="11.6640625" customWidth="1"/>
    <col min="11" max="12" width="13.1640625" customWidth="1"/>
    <col min="13" max="13" width="13" customWidth="1"/>
    <col min="14" max="14" width="7.1640625" customWidth="1"/>
    <col min="15" max="15" width="12.1640625" style="7" customWidth="1"/>
    <col min="16" max="16" width="16.33203125" style="8" customWidth="1"/>
    <col min="17" max="17" width="24.1640625" style="8" customWidth="1"/>
    <col min="18" max="18" width="16" style="8" customWidth="1"/>
    <col min="19" max="19" width="18.83203125" style="8" customWidth="1"/>
    <col min="20" max="20" width="13.33203125" customWidth="1"/>
    <col min="21" max="21" width="10.83203125" customWidth="1"/>
    <col min="22" max="22" width="14.83203125" customWidth="1"/>
    <col min="23" max="23" width="13.1640625" customWidth="1"/>
    <col min="24" max="24" width="22.5" customWidth="1"/>
    <col min="25" max="25" width="19.1640625" customWidth="1"/>
    <col min="26" max="26" width="14" customWidth="1"/>
    <col min="27" max="27" width="10.83203125" customWidth="1"/>
    <col min="28" max="29" width="8.1640625" bestFit="1" customWidth="1"/>
    <col min="30" max="30" width="9.1640625" bestFit="1" customWidth="1"/>
    <col min="35" max="35" width="11.83203125" bestFit="1" customWidth="1"/>
  </cols>
  <sheetData>
    <row r="1" spans="1:36" x14ac:dyDescent="0.2">
      <c r="A1" t="s">
        <v>86</v>
      </c>
      <c r="B1" t="s">
        <v>92</v>
      </c>
      <c r="C1" t="s">
        <v>89</v>
      </c>
      <c r="D1" t="s">
        <v>90</v>
      </c>
      <c r="E1" t="s">
        <v>212</v>
      </c>
      <c r="F1" t="s">
        <v>0</v>
      </c>
      <c r="G1" t="s">
        <v>1</v>
      </c>
      <c r="H1" t="s">
        <v>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67</v>
      </c>
      <c r="O1" s="7" t="s">
        <v>112</v>
      </c>
      <c r="P1" s="8" t="s">
        <v>68</v>
      </c>
      <c r="Q1" s="8" t="s">
        <v>64</v>
      </c>
      <c r="R1" s="8" t="s">
        <v>65</v>
      </c>
      <c r="S1" s="8" t="s">
        <v>66</v>
      </c>
      <c r="T1" t="s">
        <v>3</v>
      </c>
      <c r="U1" t="s">
        <v>4</v>
      </c>
      <c r="V1" t="s">
        <v>5</v>
      </c>
      <c r="W1" t="s">
        <v>6</v>
      </c>
      <c r="X1" t="s">
        <v>12</v>
      </c>
      <c r="Y1" t="s">
        <v>13</v>
      </c>
      <c r="Z1" t="s">
        <v>87</v>
      </c>
      <c r="AA1" t="s">
        <v>88</v>
      </c>
      <c r="AB1" t="s">
        <v>115</v>
      </c>
      <c r="AC1" t="s">
        <v>116</v>
      </c>
      <c r="AD1" t="s">
        <v>117</v>
      </c>
      <c r="AE1" t="s">
        <v>113</v>
      </c>
      <c r="AF1" t="s">
        <v>114</v>
      </c>
      <c r="AG1" t="s">
        <v>133</v>
      </c>
      <c r="AH1" t="s">
        <v>134</v>
      </c>
      <c r="AI1" t="s">
        <v>215</v>
      </c>
      <c r="AJ1" t="s">
        <v>214</v>
      </c>
    </row>
    <row r="2" spans="1:36" x14ac:dyDescent="0.2">
      <c r="A2">
        <v>1</v>
      </c>
      <c r="B2">
        <v>3677</v>
      </c>
      <c r="C2">
        <v>3677</v>
      </c>
      <c r="D2">
        <v>0</v>
      </c>
      <c r="E2" t="s">
        <v>14</v>
      </c>
      <c r="F2" t="s">
        <v>15</v>
      </c>
      <c r="G2" t="s">
        <v>96</v>
      </c>
      <c r="H2">
        <v>3720</v>
      </c>
      <c r="I2">
        <v>118000</v>
      </c>
      <c r="K2">
        <v>24</v>
      </c>
      <c r="L2">
        <v>35</v>
      </c>
      <c r="M2">
        <v>41</v>
      </c>
      <c r="N2">
        <v>3.335</v>
      </c>
      <c r="O2" s="7">
        <v>1</v>
      </c>
      <c r="P2" s="8">
        <f t="shared" ref="P2:P33" si="0">(18.01528/($N2*$I2)*1000)</f>
        <v>4.5778669987040381E-2</v>
      </c>
      <c r="Q2" s="8">
        <f t="shared" ref="Q2:Q33" si="1">(1/(K2/100))*$P2</f>
        <v>0.19074445827933492</v>
      </c>
      <c r="R2" s="8">
        <f t="shared" ref="R2:R33" si="2">(1/(L2/100))*$P2</f>
        <v>0.13079619996297251</v>
      </c>
      <c r="S2" s="8">
        <f t="shared" ref="S2:S33" si="3">(1/(M2/100))*$P2</f>
        <v>0.111655292651318</v>
      </c>
      <c r="T2">
        <f>B2-20</f>
        <v>3657</v>
      </c>
      <c r="U2">
        <f>H2-23</f>
        <v>3697</v>
      </c>
      <c r="V2">
        <f t="shared" ref="V2:V33" si="4">IF(T2=0,0,-(C2-T2))</f>
        <v>-20</v>
      </c>
      <c r="W2">
        <f t="shared" ref="W2:W33" si="5">IF(U2=0,0,(U2-C2))</f>
        <v>20</v>
      </c>
      <c r="X2" t="s">
        <v>36</v>
      </c>
      <c r="AB2">
        <v>0</v>
      </c>
      <c r="AC2">
        <v>0</v>
      </c>
      <c r="AD2">
        <v>0</v>
      </c>
      <c r="AE2" s="3" t="s">
        <v>135</v>
      </c>
      <c r="AF2">
        <v>1</v>
      </c>
      <c r="AG2">
        <v>1</v>
      </c>
      <c r="AH2">
        <v>0.2</v>
      </c>
      <c r="AI2" s="24"/>
      <c r="AJ2">
        <v>1</v>
      </c>
    </row>
    <row r="3" spans="1:36" x14ac:dyDescent="0.2">
      <c r="A3">
        <f>A2+1</f>
        <v>2</v>
      </c>
      <c r="B3">
        <v>3645</v>
      </c>
      <c r="C3">
        <v>3645</v>
      </c>
      <c r="D3">
        <v>0</v>
      </c>
      <c r="E3" t="s">
        <v>14</v>
      </c>
      <c r="F3" t="s">
        <v>15</v>
      </c>
      <c r="G3" t="s">
        <v>16</v>
      </c>
      <c r="H3">
        <v>3688</v>
      </c>
      <c r="I3">
        <v>37000</v>
      </c>
      <c r="K3">
        <v>46</v>
      </c>
      <c r="L3">
        <v>53</v>
      </c>
      <c r="M3">
        <v>1</v>
      </c>
      <c r="N3">
        <v>3.335</v>
      </c>
      <c r="O3" s="7">
        <v>1</v>
      </c>
      <c r="P3" s="8">
        <f t="shared" si="0"/>
        <v>0.14599683941812877</v>
      </c>
      <c r="Q3" s="8">
        <f t="shared" si="1"/>
        <v>0.31738443351767121</v>
      </c>
      <c r="R3" s="8">
        <f t="shared" si="2"/>
        <v>0.27546573475118635</v>
      </c>
      <c r="S3" s="8">
        <f t="shared" si="3"/>
        <v>14.599683941812877</v>
      </c>
      <c r="T3">
        <v>3640</v>
      </c>
      <c r="U3">
        <v>3650</v>
      </c>
      <c r="V3">
        <f t="shared" si="4"/>
        <v>-5</v>
      </c>
      <c r="W3">
        <f t="shared" si="5"/>
        <v>5</v>
      </c>
      <c r="X3" t="s">
        <v>17</v>
      </c>
      <c r="AB3">
        <v>0.5</v>
      </c>
      <c r="AC3">
        <v>0.9</v>
      </c>
      <c r="AD3">
        <v>0.35</v>
      </c>
      <c r="AE3" s="3" t="s">
        <v>135</v>
      </c>
      <c r="AF3">
        <v>1</v>
      </c>
      <c r="AG3">
        <v>1</v>
      </c>
      <c r="AH3">
        <v>0.2</v>
      </c>
      <c r="AI3" s="25"/>
      <c r="AJ3">
        <v>2</v>
      </c>
    </row>
    <row r="4" spans="1:36" x14ac:dyDescent="0.2">
      <c r="A4">
        <f t="shared" ref="A4:A67" si="6">A3+1</f>
        <v>3</v>
      </c>
      <c r="B4">
        <v>3642</v>
      </c>
      <c r="C4">
        <v>3642</v>
      </c>
      <c r="D4">
        <v>0</v>
      </c>
      <c r="E4" t="s">
        <v>14</v>
      </c>
      <c r="F4" t="s">
        <v>15</v>
      </c>
      <c r="G4" t="s">
        <v>18</v>
      </c>
      <c r="H4">
        <v>3685</v>
      </c>
      <c r="I4">
        <v>45000</v>
      </c>
      <c r="K4">
        <v>31</v>
      </c>
      <c r="L4">
        <v>65</v>
      </c>
      <c r="M4">
        <v>4</v>
      </c>
      <c r="N4">
        <v>3.335</v>
      </c>
      <c r="O4" s="7">
        <v>1</v>
      </c>
      <c r="P4" s="8">
        <f t="shared" si="0"/>
        <v>0.12004184574379478</v>
      </c>
      <c r="Q4" s="8">
        <f t="shared" si="1"/>
        <v>0.38723176046385416</v>
      </c>
      <c r="R4" s="8">
        <f t="shared" si="2"/>
        <v>0.18467976268276118</v>
      </c>
      <c r="S4" s="8">
        <f t="shared" si="3"/>
        <v>3.0010461435948694</v>
      </c>
      <c r="T4">
        <v>3620</v>
      </c>
      <c r="U4">
        <v>3650</v>
      </c>
      <c r="V4">
        <f t="shared" si="4"/>
        <v>-22</v>
      </c>
      <c r="W4">
        <f t="shared" si="5"/>
        <v>8</v>
      </c>
      <c r="X4" t="s">
        <v>19</v>
      </c>
      <c r="AB4">
        <v>0</v>
      </c>
      <c r="AC4">
        <v>0</v>
      </c>
      <c r="AD4">
        <v>0</v>
      </c>
      <c r="AE4" s="3" t="s">
        <v>135</v>
      </c>
      <c r="AF4">
        <v>1</v>
      </c>
      <c r="AG4">
        <v>1</v>
      </c>
      <c r="AH4">
        <v>0.2</v>
      </c>
      <c r="AI4" s="24"/>
      <c r="AJ4">
        <v>3</v>
      </c>
    </row>
    <row r="5" spans="1:36" x14ac:dyDescent="0.2">
      <c r="A5">
        <f t="shared" si="6"/>
        <v>4</v>
      </c>
      <c r="B5">
        <v>3547</v>
      </c>
      <c r="C5">
        <v>3547</v>
      </c>
      <c r="D5">
        <v>0</v>
      </c>
      <c r="E5" t="s">
        <v>14</v>
      </c>
      <c r="F5" t="s">
        <v>15</v>
      </c>
      <c r="G5" t="s">
        <v>20</v>
      </c>
      <c r="H5">
        <v>3590</v>
      </c>
      <c r="I5">
        <v>61000</v>
      </c>
      <c r="K5">
        <v>5</v>
      </c>
      <c r="L5">
        <v>12</v>
      </c>
      <c r="M5">
        <v>83</v>
      </c>
      <c r="N5">
        <v>3.335</v>
      </c>
      <c r="O5" s="7">
        <v>1</v>
      </c>
      <c r="P5" s="8">
        <f t="shared" si="0"/>
        <v>8.855545997493057E-2</v>
      </c>
      <c r="Q5" s="8">
        <f t="shared" si="1"/>
        <v>1.7711091994986115</v>
      </c>
      <c r="R5" s="8">
        <f t="shared" si="2"/>
        <v>0.73796216645775481</v>
      </c>
      <c r="S5" s="8">
        <f t="shared" si="3"/>
        <v>0.1066933252710007</v>
      </c>
      <c r="T5">
        <v>3530</v>
      </c>
      <c r="U5">
        <v>3550</v>
      </c>
      <c r="V5">
        <f t="shared" si="4"/>
        <v>-17</v>
      </c>
      <c r="W5">
        <f t="shared" si="5"/>
        <v>3</v>
      </c>
      <c r="X5" t="s">
        <v>21</v>
      </c>
      <c r="AB5">
        <v>0.2</v>
      </c>
      <c r="AC5">
        <v>0.2</v>
      </c>
      <c r="AD5">
        <v>0.2</v>
      </c>
      <c r="AE5" s="3" t="s">
        <v>135</v>
      </c>
      <c r="AF5">
        <v>1</v>
      </c>
      <c r="AG5">
        <v>1</v>
      </c>
      <c r="AH5">
        <v>0.2</v>
      </c>
      <c r="AI5" s="26"/>
      <c r="AJ5">
        <v>4</v>
      </c>
    </row>
    <row r="6" spans="1:36" x14ac:dyDescent="0.2">
      <c r="A6">
        <f t="shared" si="6"/>
        <v>5</v>
      </c>
      <c r="B6">
        <v>3533</v>
      </c>
      <c r="C6">
        <v>3533</v>
      </c>
      <c r="D6">
        <v>0</v>
      </c>
      <c r="E6" t="s">
        <v>14</v>
      </c>
      <c r="F6" t="s">
        <v>15</v>
      </c>
      <c r="G6" t="s">
        <v>22</v>
      </c>
      <c r="H6">
        <v>3576</v>
      </c>
      <c r="I6">
        <v>95000</v>
      </c>
      <c r="K6">
        <v>28</v>
      </c>
      <c r="L6">
        <v>17</v>
      </c>
      <c r="M6">
        <v>55</v>
      </c>
      <c r="N6">
        <v>3.335</v>
      </c>
      <c r="O6" s="7">
        <v>1</v>
      </c>
      <c r="P6" s="8">
        <f t="shared" si="0"/>
        <v>5.6861926931271213E-2</v>
      </c>
      <c r="Q6" s="8">
        <f t="shared" si="1"/>
        <v>0.20307831046882574</v>
      </c>
      <c r="R6" s="8">
        <f t="shared" si="2"/>
        <v>0.33448192312512476</v>
      </c>
      <c r="S6" s="8">
        <f t="shared" si="3"/>
        <v>0.10338532169322039</v>
      </c>
      <c r="T6">
        <f>B6-20</f>
        <v>3513</v>
      </c>
      <c r="U6">
        <f>H6-23</f>
        <v>3553</v>
      </c>
      <c r="V6">
        <f t="shared" si="4"/>
        <v>-20</v>
      </c>
      <c r="W6">
        <f t="shared" si="5"/>
        <v>20</v>
      </c>
      <c r="X6" t="s">
        <v>17</v>
      </c>
      <c r="AB6">
        <v>0.5</v>
      </c>
      <c r="AC6">
        <v>0.9</v>
      </c>
      <c r="AD6">
        <v>0.35</v>
      </c>
      <c r="AE6" s="3" t="s">
        <v>135</v>
      </c>
      <c r="AF6">
        <v>1</v>
      </c>
      <c r="AG6">
        <v>1</v>
      </c>
      <c r="AH6">
        <v>0.2</v>
      </c>
      <c r="AI6" s="25"/>
      <c r="AJ6">
        <v>5</v>
      </c>
    </row>
    <row r="7" spans="1:36" x14ac:dyDescent="0.2">
      <c r="A7">
        <f t="shared" si="6"/>
        <v>6</v>
      </c>
      <c r="B7">
        <v>3532</v>
      </c>
      <c r="C7">
        <v>3532</v>
      </c>
      <c r="D7">
        <v>0</v>
      </c>
      <c r="E7" t="s">
        <v>14</v>
      </c>
      <c r="F7" t="s">
        <v>15</v>
      </c>
      <c r="G7" t="s">
        <v>23</v>
      </c>
      <c r="H7">
        <v>3575</v>
      </c>
      <c r="I7">
        <v>65000</v>
      </c>
      <c r="K7">
        <v>5</v>
      </c>
      <c r="L7">
        <v>14</v>
      </c>
      <c r="M7">
        <v>81</v>
      </c>
      <c r="N7">
        <v>3.335</v>
      </c>
      <c r="O7" s="7">
        <v>1</v>
      </c>
      <c r="P7" s="8">
        <f t="shared" si="0"/>
        <v>8.3105893207242529E-2</v>
      </c>
      <c r="Q7" s="8">
        <f t="shared" si="1"/>
        <v>1.6621178641448506</v>
      </c>
      <c r="R7" s="8">
        <f t="shared" si="2"/>
        <v>0.59361352290887515</v>
      </c>
      <c r="S7" s="8">
        <f t="shared" si="3"/>
        <v>0.10259986815708953</v>
      </c>
      <c r="T7">
        <v>3520</v>
      </c>
      <c r="U7">
        <v>3540</v>
      </c>
      <c r="V7">
        <f t="shared" si="4"/>
        <v>-12</v>
      </c>
      <c r="W7">
        <f t="shared" si="5"/>
        <v>8</v>
      </c>
      <c r="X7" t="s">
        <v>21</v>
      </c>
      <c r="AB7">
        <v>0.2</v>
      </c>
      <c r="AC7">
        <v>0.2</v>
      </c>
      <c r="AD7">
        <v>0.2</v>
      </c>
      <c r="AE7" s="3" t="s">
        <v>135</v>
      </c>
      <c r="AF7">
        <v>1</v>
      </c>
      <c r="AG7">
        <v>1</v>
      </c>
      <c r="AH7">
        <v>0.2</v>
      </c>
      <c r="AI7" s="26"/>
      <c r="AJ7">
        <v>6</v>
      </c>
    </row>
    <row r="8" spans="1:36" x14ac:dyDescent="0.2">
      <c r="A8">
        <f t="shared" si="6"/>
        <v>7</v>
      </c>
      <c r="B8">
        <v>3508</v>
      </c>
      <c r="C8">
        <v>3508</v>
      </c>
      <c r="D8">
        <v>0</v>
      </c>
      <c r="E8" t="s">
        <v>14</v>
      </c>
      <c r="F8" t="s">
        <v>15</v>
      </c>
      <c r="G8" t="s">
        <v>24</v>
      </c>
      <c r="H8">
        <v>3551</v>
      </c>
      <c r="I8">
        <v>67000</v>
      </c>
      <c r="K8">
        <v>8</v>
      </c>
      <c r="L8">
        <v>18</v>
      </c>
      <c r="M8">
        <v>74</v>
      </c>
      <c r="N8">
        <v>3.335</v>
      </c>
      <c r="O8" s="7">
        <v>1</v>
      </c>
      <c r="P8" s="8">
        <f t="shared" si="0"/>
        <v>8.0625120275683054E-2</v>
      </c>
      <c r="Q8" s="8">
        <f t="shared" si="1"/>
        <v>1.0078140034460381</v>
      </c>
      <c r="R8" s="8">
        <f t="shared" si="2"/>
        <v>0.44791733486490581</v>
      </c>
      <c r="S8" s="8">
        <f t="shared" si="3"/>
        <v>0.10895286523740953</v>
      </c>
      <c r="T8">
        <v>3480</v>
      </c>
      <c r="U8">
        <v>3530</v>
      </c>
      <c r="V8">
        <f t="shared" si="4"/>
        <v>-28</v>
      </c>
      <c r="W8">
        <f t="shared" si="5"/>
        <v>22</v>
      </c>
      <c r="X8" t="s">
        <v>17</v>
      </c>
      <c r="AB8">
        <v>0.5</v>
      </c>
      <c r="AC8">
        <v>0.9</v>
      </c>
      <c r="AD8">
        <v>0.35</v>
      </c>
      <c r="AE8" s="3" t="s">
        <v>135</v>
      </c>
      <c r="AF8">
        <v>1</v>
      </c>
      <c r="AG8">
        <v>1</v>
      </c>
      <c r="AH8">
        <v>0.2</v>
      </c>
      <c r="AI8" s="25"/>
      <c r="AJ8">
        <v>7</v>
      </c>
    </row>
    <row r="9" spans="1:36" x14ac:dyDescent="0.2">
      <c r="A9">
        <f t="shared" si="6"/>
        <v>8</v>
      </c>
      <c r="B9">
        <v>3472</v>
      </c>
      <c r="C9">
        <v>3472</v>
      </c>
      <c r="D9">
        <v>0</v>
      </c>
      <c r="E9" t="s">
        <v>14</v>
      </c>
      <c r="F9" t="s">
        <v>15</v>
      </c>
      <c r="G9" t="s">
        <v>25</v>
      </c>
      <c r="H9">
        <v>3515</v>
      </c>
      <c r="I9">
        <v>94000</v>
      </c>
      <c r="K9">
        <v>12</v>
      </c>
      <c r="L9">
        <v>19</v>
      </c>
      <c r="M9">
        <v>69</v>
      </c>
      <c r="N9">
        <v>3.335</v>
      </c>
      <c r="O9" s="7">
        <v>1</v>
      </c>
      <c r="P9" s="8">
        <f t="shared" si="0"/>
        <v>5.7466841047561328E-2</v>
      </c>
      <c r="Q9" s="8">
        <f t="shared" si="1"/>
        <v>0.47889034206301112</v>
      </c>
      <c r="R9" s="8">
        <f t="shared" si="2"/>
        <v>0.30245705814505963</v>
      </c>
      <c r="S9" s="8">
        <f t="shared" si="3"/>
        <v>8.3285276880523673E-2</v>
      </c>
      <c r="T9">
        <f>B9-20</f>
        <v>3452</v>
      </c>
      <c r="U9">
        <f>H9-23</f>
        <v>3492</v>
      </c>
      <c r="V9">
        <f t="shared" si="4"/>
        <v>-20</v>
      </c>
      <c r="W9">
        <f t="shared" si="5"/>
        <v>20</v>
      </c>
      <c r="X9" t="s">
        <v>21</v>
      </c>
      <c r="AB9">
        <v>0.2</v>
      </c>
      <c r="AC9">
        <v>0.2</v>
      </c>
      <c r="AD9">
        <v>0.2</v>
      </c>
      <c r="AE9" s="3" t="s">
        <v>135</v>
      </c>
      <c r="AF9">
        <v>1</v>
      </c>
      <c r="AG9">
        <v>1</v>
      </c>
      <c r="AH9">
        <v>0.2</v>
      </c>
      <c r="AI9" s="26"/>
      <c r="AJ9">
        <v>8</v>
      </c>
    </row>
    <row r="10" spans="1:36" x14ac:dyDescent="0.2">
      <c r="A10">
        <f t="shared" si="6"/>
        <v>9</v>
      </c>
      <c r="B10">
        <v>3471</v>
      </c>
      <c r="C10">
        <v>3471</v>
      </c>
      <c r="D10">
        <v>0</v>
      </c>
      <c r="E10" t="s">
        <v>14</v>
      </c>
      <c r="F10" t="s">
        <v>15</v>
      </c>
      <c r="G10" t="s">
        <v>26</v>
      </c>
      <c r="H10">
        <v>3514</v>
      </c>
      <c r="I10">
        <v>80000</v>
      </c>
      <c r="K10">
        <v>10</v>
      </c>
      <c r="L10">
        <v>19</v>
      </c>
      <c r="M10">
        <v>71</v>
      </c>
      <c r="N10">
        <v>3.335</v>
      </c>
      <c r="O10" s="7">
        <v>1</v>
      </c>
      <c r="P10" s="8">
        <f t="shared" si="0"/>
        <v>6.7523538230884556E-2</v>
      </c>
      <c r="Q10" s="8">
        <f t="shared" si="1"/>
        <v>0.6752353823088455</v>
      </c>
      <c r="R10" s="8">
        <f t="shared" si="2"/>
        <v>0.35538704332044507</v>
      </c>
      <c r="S10" s="8">
        <f t="shared" si="3"/>
        <v>9.5103574973076851E-2</v>
      </c>
      <c r="T10">
        <f>B10-20</f>
        <v>3451</v>
      </c>
      <c r="U10">
        <f>H10-23</f>
        <v>3491</v>
      </c>
      <c r="V10">
        <f t="shared" si="4"/>
        <v>-20</v>
      </c>
      <c r="W10">
        <f t="shared" si="5"/>
        <v>20</v>
      </c>
      <c r="X10" t="s">
        <v>27</v>
      </c>
      <c r="AB10">
        <v>0</v>
      </c>
      <c r="AC10">
        <v>0</v>
      </c>
      <c r="AD10">
        <v>0</v>
      </c>
      <c r="AE10" s="3" t="s">
        <v>135</v>
      </c>
      <c r="AF10">
        <v>1</v>
      </c>
      <c r="AG10">
        <v>1</v>
      </c>
      <c r="AH10">
        <v>0.2</v>
      </c>
      <c r="AI10" s="24"/>
      <c r="AJ10">
        <v>9</v>
      </c>
    </row>
    <row r="11" spans="1:36" x14ac:dyDescent="0.2">
      <c r="A11">
        <f t="shared" si="6"/>
        <v>10</v>
      </c>
      <c r="B11">
        <v>3469</v>
      </c>
      <c r="C11">
        <v>3469</v>
      </c>
      <c r="D11">
        <v>0</v>
      </c>
      <c r="E11" t="s">
        <v>14</v>
      </c>
      <c r="F11" t="s">
        <v>15</v>
      </c>
      <c r="G11" t="s">
        <v>28</v>
      </c>
      <c r="H11">
        <v>3512</v>
      </c>
      <c r="I11">
        <v>100000</v>
      </c>
      <c r="K11">
        <v>10</v>
      </c>
      <c r="L11">
        <v>16</v>
      </c>
      <c r="M11">
        <v>74</v>
      </c>
      <c r="N11">
        <v>3.335</v>
      </c>
      <c r="O11" s="7">
        <v>1</v>
      </c>
      <c r="P11" s="8">
        <f t="shared" si="0"/>
        <v>5.4018830584707647E-2</v>
      </c>
      <c r="Q11" s="8">
        <f t="shared" si="1"/>
        <v>0.54018830584707644</v>
      </c>
      <c r="R11" s="8">
        <f t="shared" si="2"/>
        <v>0.33761769115442281</v>
      </c>
      <c r="S11" s="8">
        <f t="shared" si="3"/>
        <v>7.2998419709064385E-2</v>
      </c>
      <c r="T11">
        <f>B11-20</f>
        <v>3449</v>
      </c>
      <c r="U11">
        <f>H11-23</f>
        <v>3489</v>
      </c>
      <c r="V11">
        <f t="shared" si="4"/>
        <v>-20</v>
      </c>
      <c r="W11">
        <f t="shared" si="5"/>
        <v>20</v>
      </c>
      <c r="X11" t="s">
        <v>19</v>
      </c>
      <c r="AB11">
        <v>0</v>
      </c>
      <c r="AC11">
        <v>0</v>
      </c>
      <c r="AD11">
        <v>0</v>
      </c>
      <c r="AE11" s="3" t="s">
        <v>135</v>
      </c>
      <c r="AF11">
        <v>1</v>
      </c>
      <c r="AG11">
        <v>1</v>
      </c>
      <c r="AH11">
        <v>0.2</v>
      </c>
      <c r="AI11" s="24"/>
      <c r="AJ11">
        <v>10</v>
      </c>
    </row>
    <row r="12" spans="1:36" x14ac:dyDescent="0.2">
      <c r="A12">
        <f t="shared" si="6"/>
        <v>11</v>
      </c>
      <c r="B12">
        <v>3463</v>
      </c>
      <c r="C12">
        <v>3463</v>
      </c>
      <c r="D12">
        <v>0</v>
      </c>
      <c r="E12" t="s">
        <v>14</v>
      </c>
      <c r="F12" t="s">
        <v>15</v>
      </c>
      <c r="G12" t="s">
        <v>29</v>
      </c>
      <c r="H12">
        <v>3506</v>
      </c>
      <c r="I12">
        <v>90000</v>
      </c>
      <c r="K12">
        <v>17</v>
      </c>
      <c r="L12">
        <v>27</v>
      </c>
      <c r="M12">
        <v>56</v>
      </c>
      <c r="N12">
        <v>3.335</v>
      </c>
      <c r="O12" s="7">
        <v>1</v>
      </c>
      <c r="P12" s="8">
        <f t="shared" si="0"/>
        <v>6.0020922871897392E-2</v>
      </c>
      <c r="Q12" s="8">
        <f t="shared" si="1"/>
        <v>0.35306425218763171</v>
      </c>
      <c r="R12" s="8">
        <f t="shared" si="2"/>
        <v>0.22229971434036069</v>
      </c>
      <c r="S12" s="8">
        <f t="shared" si="3"/>
        <v>0.10718021941410248</v>
      </c>
      <c r="T12">
        <v>3438</v>
      </c>
      <c r="U12">
        <v>3465</v>
      </c>
      <c r="V12">
        <f t="shared" si="4"/>
        <v>-25</v>
      </c>
      <c r="W12">
        <f t="shared" si="5"/>
        <v>2</v>
      </c>
      <c r="X12" t="s">
        <v>17</v>
      </c>
      <c r="AB12">
        <v>0.5</v>
      </c>
      <c r="AC12">
        <v>0.9</v>
      </c>
      <c r="AD12">
        <v>0.35</v>
      </c>
      <c r="AE12" s="3" t="s">
        <v>135</v>
      </c>
      <c r="AF12">
        <v>1</v>
      </c>
      <c r="AG12">
        <v>1</v>
      </c>
      <c r="AH12">
        <v>0.2</v>
      </c>
      <c r="AI12" s="25"/>
      <c r="AJ12">
        <v>11</v>
      </c>
    </row>
    <row r="13" spans="1:36" x14ac:dyDescent="0.2">
      <c r="A13">
        <f t="shared" si="6"/>
        <v>12</v>
      </c>
      <c r="B13">
        <v>3451</v>
      </c>
      <c r="C13">
        <v>3451</v>
      </c>
      <c r="D13">
        <v>0</v>
      </c>
      <c r="E13" t="s">
        <v>14</v>
      </c>
      <c r="F13" t="s">
        <v>15</v>
      </c>
      <c r="G13" t="s">
        <v>30</v>
      </c>
      <c r="H13">
        <v>3494</v>
      </c>
      <c r="I13">
        <v>143000</v>
      </c>
      <c r="K13">
        <v>33</v>
      </c>
      <c r="L13">
        <v>18</v>
      </c>
      <c r="M13">
        <v>49</v>
      </c>
      <c r="N13">
        <v>3.335</v>
      </c>
      <c r="O13" s="7">
        <v>1</v>
      </c>
      <c r="P13" s="8">
        <f t="shared" si="0"/>
        <v>3.7775406003292059E-2</v>
      </c>
      <c r="Q13" s="8">
        <f t="shared" si="1"/>
        <v>0.11447092728270321</v>
      </c>
      <c r="R13" s="8">
        <f t="shared" si="2"/>
        <v>0.20986336668495587</v>
      </c>
      <c r="S13" s="8">
        <f t="shared" si="3"/>
        <v>7.7092665312840938E-2</v>
      </c>
      <c r="T13">
        <f>B13-20</f>
        <v>3431</v>
      </c>
      <c r="U13">
        <f>H13-23</f>
        <v>3471</v>
      </c>
      <c r="V13">
        <f t="shared" si="4"/>
        <v>-20</v>
      </c>
      <c r="W13">
        <f t="shared" si="5"/>
        <v>20</v>
      </c>
      <c r="X13" t="s">
        <v>21</v>
      </c>
      <c r="AB13">
        <v>0.2</v>
      </c>
      <c r="AC13">
        <v>0.2</v>
      </c>
      <c r="AD13">
        <v>0.2</v>
      </c>
      <c r="AE13" s="3" t="s">
        <v>135</v>
      </c>
      <c r="AF13">
        <v>1</v>
      </c>
      <c r="AG13">
        <v>1</v>
      </c>
      <c r="AH13">
        <v>0.2</v>
      </c>
      <c r="AI13" s="26"/>
      <c r="AJ13">
        <v>12</v>
      </c>
    </row>
    <row r="14" spans="1:36" x14ac:dyDescent="0.2">
      <c r="A14">
        <f t="shared" si="6"/>
        <v>13</v>
      </c>
      <c r="B14">
        <v>3438</v>
      </c>
      <c r="C14">
        <v>3438</v>
      </c>
      <c r="D14">
        <v>0</v>
      </c>
      <c r="E14" t="s">
        <v>14</v>
      </c>
      <c r="F14" t="s">
        <v>15</v>
      </c>
      <c r="G14" t="s">
        <v>31</v>
      </c>
      <c r="H14">
        <v>3481</v>
      </c>
      <c r="I14">
        <v>125000</v>
      </c>
      <c r="K14">
        <v>42</v>
      </c>
      <c r="L14">
        <v>29</v>
      </c>
      <c r="M14">
        <v>29</v>
      </c>
      <c r="N14">
        <v>3.335</v>
      </c>
      <c r="O14" s="7">
        <v>1</v>
      </c>
      <c r="P14" s="8">
        <f t="shared" si="0"/>
        <v>4.3215064467766122E-2</v>
      </c>
      <c r="Q14" s="8">
        <f t="shared" si="1"/>
        <v>0.10289301063753839</v>
      </c>
      <c r="R14" s="8">
        <f t="shared" si="2"/>
        <v>0.14901746368195215</v>
      </c>
      <c r="S14" s="8">
        <f t="shared" si="3"/>
        <v>0.14901746368195215</v>
      </c>
      <c r="T14">
        <v>3413</v>
      </c>
      <c r="U14">
        <v>3450</v>
      </c>
      <c r="V14">
        <f t="shared" si="4"/>
        <v>-25</v>
      </c>
      <c r="W14">
        <f t="shared" si="5"/>
        <v>12</v>
      </c>
      <c r="X14" t="s">
        <v>32</v>
      </c>
      <c r="AB14">
        <v>0</v>
      </c>
      <c r="AC14">
        <v>0</v>
      </c>
      <c r="AD14">
        <v>0</v>
      </c>
      <c r="AE14" s="3" t="s">
        <v>135</v>
      </c>
      <c r="AF14">
        <v>1</v>
      </c>
      <c r="AG14">
        <v>1</v>
      </c>
      <c r="AH14">
        <v>0.2</v>
      </c>
      <c r="AI14" s="24"/>
      <c r="AJ14">
        <v>13</v>
      </c>
    </row>
    <row r="15" spans="1:36" x14ac:dyDescent="0.2">
      <c r="A15">
        <f t="shared" si="6"/>
        <v>14</v>
      </c>
      <c r="B15">
        <v>3428</v>
      </c>
      <c r="C15">
        <v>3428</v>
      </c>
      <c r="D15">
        <v>0</v>
      </c>
      <c r="E15" t="s">
        <v>14</v>
      </c>
      <c r="F15" t="s">
        <v>15</v>
      </c>
      <c r="G15" t="s">
        <v>33</v>
      </c>
      <c r="H15">
        <v>3471</v>
      </c>
      <c r="I15">
        <v>106000</v>
      </c>
      <c r="K15">
        <v>13</v>
      </c>
      <c r="L15">
        <v>33</v>
      </c>
      <c r="M15">
        <v>54</v>
      </c>
      <c r="N15">
        <v>3.335</v>
      </c>
      <c r="O15" s="7">
        <v>1</v>
      </c>
      <c r="P15" s="8">
        <f t="shared" si="0"/>
        <v>5.0961160928969483E-2</v>
      </c>
      <c r="Q15" s="8">
        <f t="shared" si="1"/>
        <v>0.39200893022284217</v>
      </c>
      <c r="R15" s="8">
        <f t="shared" si="2"/>
        <v>0.15442776039081663</v>
      </c>
      <c r="S15" s="8">
        <f t="shared" si="3"/>
        <v>9.4372520238832372E-2</v>
      </c>
      <c r="T15">
        <v>3403</v>
      </c>
      <c r="U15">
        <v>3432</v>
      </c>
      <c r="V15">
        <f t="shared" si="4"/>
        <v>-25</v>
      </c>
      <c r="W15">
        <f t="shared" si="5"/>
        <v>4</v>
      </c>
      <c r="X15" t="s">
        <v>27</v>
      </c>
      <c r="AB15">
        <v>0</v>
      </c>
      <c r="AC15">
        <v>0</v>
      </c>
      <c r="AD15">
        <v>0</v>
      </c>
      <c r="AE15" s="3" t="s">
        <v>135</v>
      </c>
      <c r="AF15">
        <v>1</v>
      </c>
      <c r="AG15">
        <v>1</v>
      </c>
      <c r="AH15">
        <v>0.2</v>
      </c>
      <c r="AI15" s="24"/>
      <c r="AJ15">
        <v>14</v>
      </c>
    </row>
    <row r="16" spans="1:36" x14ac:dyDescent="0.2">
      <c r="A16">
        <f t="shared" si="6"/>
        <v>15</v>
      </c>
      <c r="B16">
        <v>3427</v>
      </c>
      <c r="C16">
        <v>3427</v>
      </c>
      <c r="D16">
        <v>0</v>
      </c>
      <c r="E16" t="s">
        <v>14</v>
      </c>
      <c r="F16" t="s">
        <v>15</v>
      </c>
      <c r="G16" t="s">
        <v>34</v>
      </c>
      <c r="H16">
        <v>3470</v>
      </c>
      <c r="I16">
        <v>107000</v>
      </c>
      <c r="K16">
        <v>14</v>
      </c>
      <c r="L16">
        <v>31</v>
      </c>
      <c r="M16">
        <v>55</v>
      </c>
      <c r="N16">
        <v>3.335</v>
      </c>
      <c r="O16" s="7">
        <v>1</v>
      </c>
      <c r="P16" s="8">
        <f t="shared" si="0"/>
        <v>5.0484888396923035E-2</v>
      </c>
      <c r="Q16" s="8">
        <f t="shared" si="1"/>
        <v>0.36060634569230737</v>
      </c>
      <c r="R16" s="8">
        <f t="shared" si="2"/>
        <v>0.16285447869975173</v>
      </c>
      <c r="S16" s="8">
        <f t="shared" si="3"/>
        <v>9.1790706176223702E-2</v>
      </c>
      <c r="T16">
        <f>B16-20</f>
        <v>3407</v>
      </c>
      <c r="U16">
        <f>H16-23</f>
        <v>3447</v>
      </c>
      <c r="V16">
        <f t="shared" si="4"/>
        <v>-20</v>
      </c>
      <c r="W16">
        <f t="shared" si="5"/>
        <v>20</v>
      </c>
      <c r="X16" t="s">
        <v>21</v>
      </c>
      <c r="AB16">
        <v>0.2</v>
      </c>
      <c r="AC16">
        <v>0.2</v>
      </c>
      <c r="AD16">
        <v>0.2</v>
      </c>
      <c r="AE16" s="3" t="s">
        <v>135</v>
      </c>
      <c r="AF16">
        <v>1</v>
      </c>
      <c r="AG16">
        <v>1</v>
      </c>
      <c r="AH16">
        <v>0.2</v>
      </c>
      <c r="AI16" s="26"/>
      <c r="AJ16">
        <v>15</v>
      </c>
    </row>
    <row r="17" spans="1:36" x14ac:dyDescent="0.2">
      <c r="A17">
        <f t="shared" si="6"/>
        <v>16</v>
      </c>
      <c r="B17">
        <v>3425</v>
      </c>
      <c r="C17">
        <v>3425</v>
      </c>
      <c r="D17">
        <v>0</v>
      </c>
      <c r="E17" t="s">
        <v>14</v>
      </c>
      <c r="F17" t="s">
        <v>15</v>
      </c>
      <c r="G17" t="s">
        <v>35</v>
      </c>
      <c r="H17">
        <v>3468</v>
      </c>
      <c r="I17">
        <v>106000</v>
      </c>
      <c r="K17">
        <v>11</v>
      </c>
      <c r="L17">
        <v>36</v>
      </c>
      <c r="M17">
        <v>53</v>
      </c>
      <c r="N17">
        <v>3.335</v>
      </c>
      <c r="O17" s="7">
        <v>1</v>
      </c>
      <c r="P17" s="8">
        <f t="shared" si="0"/>
        <v>5.0961160928969483E-2</v>
      </c>
      <c r="Q17" s="8">
        <f t="shared" si="1"/>
        <v>0.46328328117244988</v>
      </c>
      <c r="R17" s="8">
        <f t="shared" si="2"/>
        <v>0.14155878035824856</v>
      </c>
      <c r="S17" s="8">
        <f t="shared" si="3"/>
        <v>9.6153133828244294E-2</v>
      </c>
      <c r="T17">
        <v>3400</v>
      </c>
      <c r="U17">
        <v>3443</v>
      </c>
      <c r="V17">
        <f t="shared" si="4"/>
        <v>-25</v>
      </c>
      <c r="W17">
        <f t="shared" si="5"/>
        <v>18</v>
      </c>
      <c r="X17" t="s">
        <v>19</v>
      </c>
      <c r="AB17">
        <v>0</v>
      </c>
      <c r="AC17">
        <v>0</v>
      </c>
      <c r="AD17">
        <v>0</v>
      </c>
      <c r="AE17" s="3" t="s">
        <v>135</v>
      </c>
      <c r="AF17">
        <v>1</v>
      </c>
      <c r="AG17">
        <v>1</v>
      </c>
      <c r="AH17">
        <v>0.2</v>
      </c>
      <c r="AI17" s="24"/>
      <c r="AJ17">
        <v>16</v>
      </c>
    </row>
    <row r="18" spans="1:36" x14ac:dyDescent="0.2">
      <c r="A18">
        <f t="shared" si="6"/>
        <v>17</v>
      </c>
      <c r="B18">
        <v>3421</v>
      </c>
      <c r="C18">
        <v>3421</v>
      </c>
      <c r="D18">
        <v>0</v>
      </c>
      <c r="E18" t="s">
        <v>14</v>
      </c>
      <c r="F18" t="s">
        <v>15</v>
      </c>
      <c r="G18" t="s">
        <v>96</v>
      </c>
      <c r="H18">
        <v>3464</v>
      </c>
      <c r="I18">
        <v>118000</v>
      </c>
      <c r="K18">
        <v>24</v>
      </c>
      <c r="L18">
        <v>35</v>
      </c>
      <c r="M18">
        <v>41</v>
      </c>
      <c r="N18">
        <v>3.335</v>
      </c>
      <c r="O18" s="7">
        <v>1</v>
      </c>
      <c r="P18" s="8">
        <f t="shared" si="0"/>
        <v>4.5778669987040381E-2</v>
      </c>
      <c r="Q18" s="8">
        <f t="shared" si="1"/>
        <v>0.19074445827933492</v>
      </c>
      <c r="R18" s="8">
        <f t="shared" si="2"/>
        <v>0.13079619996297251</v>
      </c>
      <c r="S18" s="8">
        <f t="shared" si="3"/>
        <v>0.111655292651318</v>
      </c>
      <c r="T18">
        <f t="shared" ref="T18:T27" si="7">B18-20</f>
        <v>3401</v>
      </c>
      <c r="U18">
        <f t="shared" ref="U18:U27" si="8">H18-23</f>
        <v>3441</v>
      </c>
      <c r="V18">
        <f t="shared" si="4"/>
        <v>-20</v>
      </c>
      <c r="W18">
        <f t="shared" si="5"/>
        <v>20</v>
      </c>
      <c r="X18" t="s">
        <v>36</v>
      </c>
      <c r="AB18">
        <v>0</v>
      </c>
      <c r="AC18">
        <v>0</v>
      </c>
      <c r="AD18">
        <v>0</v>
      </c>
      <c r="AE18" s="3" t="s">
        <v>135</v>
      </c>
      <c r="AF18">
        <v>1</v>
      </c>
      <c r="AG18">
        <v>1</v>
      </c>
      <c r="AH18">
        <v>0.2</v>
      </c>
      <c r="AI18" s="24"/>
      <c r="AJ18">
        <v>17</v>
      </c>
    </row>
    <row r="19" spans="1:36" x14ac:dyDescent="0.2">
      <c r="A19">
        <f t="shared" si="6"/>
        <v>18</v>
      </c>
      <c r="B19">
        <v>3392</v>
      </c>
      <c r="C19">
        <v>3392</v>
      </c>
      <c r="D19">
        <v>0</v>
      </c>
      <c r="E19" t="s">
        <v>14</v>
      </c>
      <c r="F19" t="s">
        <v>15</v>
      </c>
      <c r="G19" t="s">
        <v>96</v>
      </c>
      <c r="H19">
        <v>3435</v>
      </c>
      <c r="I19">
        <v>118000</v>
      </c>
      <c r="K19">
        <v>24</v>
      </c>
      <c r="L19">
        <v>35</v>
      </c>
      <c r="M19">
        <v>41</v>
      </c>
      <c r="N19">
        <v>3.335</v>
      </c>
      <c r="O19" s="7">
        <v>1</v>
      </c>
      <c r="P19" s="8">
        <f t="shared" si="0"/>
        <v>4.5778669987040381E-2</v>
      </c>
      <c r="Q19" s="8">
        <f t="shared" si="1"/>
        <v>0.19074445827933492</v>
      </c>
      <c r="R19" s="8">
        <f t="shared" si="2"/>
        <v>0.13079619996297251</v>
      </c>
      <c r="S19" s="8">
        <f t="shared" si="3"/>
        <v>0.111655292651318</v>
      </c>
      <c r="T19">
        <f t="shared" si="7"/>
        <v>3372</v>
      </c>
      <c r="U19">
        <f t="shared" si="8"/>
        <v>3412</v>
      </c>
      <c r="V19">
        <f t="shared" si="4"/>
        <v>-20</v>
      </c>
      <c r="W19">
        <f t="shared" si="5"/>
        <v>20</v>
      </c>
      <c r="X19" t="s">
        <v>36</v>
      </c>
      <c r="AB19">
        <v>0</v>
      </c>
      <c r="AC19">
        <v>0</v>
      </c>
      <c r="AD19">
        <v>0</v>
      </c>
      <c r="AE19" s="3" t="s">
        <v>135</v>
      </c>
      <c r="AF19">
        <v>1</v>
      </c>
      <c r="AG19">
        <v>1</v>
      </c>
      <c r="AH19">
        <v>0.2</v>
      </c>
      <c r="AI19" s="24"/>
      <c r="AJ19">
        <v>18</v>
      </c>
    </row>
    <row r="20" spans="1:36" x14ac:dyDescent="0.2">
      <c r="A20">
        <f t="shared" si="6"/>
        <v>19</v>
      </c>
      <c r="B20" s="1">
        <v>3371</v>
      </c>
      <c r="C20">
        <v>3371</v>
      </c>
      <c r="D20">
        <v>0</v>
      </c>
      <c r="E20" t="s">
        <v>14</v>
      </c>
      <c r="F20" t="s">
        <v>15</v>
      </c>
      <c r="G20" t="s">
        <v>22</v>
      </c>
      <c r="H20" s="1">
        <v>3414</v>
      </c>
      <c r="I20" s="1">
        <v>95000</v>
      </c>
      <c r="K20" s="1">
        <v>28</v>
      </c>
      <c r="L20" s="1">
        <v>17</v>
      </c>
      <c r="M20" s="1">
        <v>55</v>
      </c>
      <c r="N20">
        <v>3.335</v>
      </c>
      <c r="O20" s="7">
        <v>1</v>
      </c>
      <c r="P20" s="8">
        <f t="shared" si="0"/>
        <v>5.6861926931271213E-2</v>
      </c>
      <c r="Q20" s="8">
        <f t="shared" si="1"/>
        <v>0.20307831046882574</v>
      </c>
      <c r="R20" s="8">
        <f t="shared" si="2"/>
        <v>0.33448192312512476</v>
      </c>
      <c r="S20" s="8">
        <f t="shared" si="3"/>
        <v>0.10338532169322039</v>
      </c>
      <c r="T20">
        <f t="shared" si="7"/>
        <v>3351</v>
      </c>
      <c r="U20">
        <f t="shared" si="8"/>
        <v>3391</v>
      </c>
      <c r="V20">
        <f t="shared" si="4"/>
        <v>-20</v>
      </c>
      <c r="W20">
        <f t="shared" si="5"/>
        <v>20</v>
      </c>
      <c r="X20" s="1" t="s">
        <v>17</v>
      </c>
      <c r="AB20">
        <v>0.5</v>
      </c>
      <c r="AC20">
        <v>0.9</v>
      </c>
      <c r="AD20">
        <v>0.35</v>
      </c>
      <c r="AE20" s="3" t="s">
        <v>135</v>
      </c>
      <c r="AF20">
        <v>1</v>
      </c>
      <c r="AG20">
        <v>1</v>
      </c>
      <c r="AH20">
        <v>0.2</v>
      </c>
      <c r="AI20" s="25"/>
      <c r="AJ20">
        <v>19</v>
      </c>
    </row>
    <row r="21" spans="1:36" x14ac:dyDescent="0.2">
      <c r="A21">
        <f t="shared" si="6"/>
        <v>20</v>
      </c>
      <c r="B21">
        <v>3370</v>
      </c>
      <c r="C21">
        <v>3370</v>
      </c>
      <c r="D21">
        <v>0</v>
      </c>
      <c r="E21" t="s">
        <v>14</v>
      </c>
      <c r="F21" t="s">
        <v>15</v>
      </c>
      <c r="G21" t="s">
        <v>100</v>
      </c>
      <c r="H21">
        <v>3413</v>
      </c>
      <c r="I21">
        <v>137000</v>
      </c>
      <c r="K21">
        <v>22</v>
      </c>
      <c r="L21">
        <v>27</v>
      </c>
      <c r="M21">
        <v>51</v>
      </c>
      <c r="N21">
        <v>3.335</v>
      </c>
      <c r="O21" s="7">
        <v>1</v>
      </c>
      <c r="P21" s="8">
        <f t="shared" si="0"/>
        <v>3.9429803346501938E-2</v>
      </c>
      <c r="Q21" s="8">
        <f t="shared" si="1"/>
        <v>0.1792263788477361</v>
      </c>
      <c r="R21" s="8">
        <f t="shared" si="2"/>
        <v>0.14603630869074791</v>
      </c>
      <c r="S21" s="8">
        <f t="shared" si="3"/>
        <v>7.7313339895101835E-2</v>
      </c>
      <c r="T21">
        <f t="shared" si="7"/>
        <v>3350</v>
      </c>
      <c r="U21">
        <f t="shared" si="8"/>
        <v>3390</v>
      </c>
      <c r="V21">
        <f t="shared" si="4"/>
        <v>-20</v>
      </c>
      <c r="W21">
        <f t="shared" si="5"/>
        <v>20</v>
      </c>
      <c r="X21" t="s">
        <v>93</v>
      </c>
      <c r="AB21">
        <v>0</v>
      </c>
      <c r="AC21">
        <v>0</v>
      </c>
      <c r="AD21">
        <v>0</v>
      </c>
      <c r="AE21" s="3" t="s">
        <v>135</v>
      </c>
      <c r="AF21">
        <v>1</v>
      </c>
      <c r="AG21">
        <v>1</v>
      </c>
      <c r="AH21">
        <v>0.2</v>
      </c>
      <c r="AI21" s="24"/>
      <c r="AJ21">
        <v>20</v>
      </c>
    </row>
    <row r="22" spans="1:36" x14ac:dyDescent="0.2">
      <c r="A22">
        <f t="shared" si="6"/>
        <v>21</v>
      </c>
      <c r="B22">
        <v>3367</v>
      </c>
      <c r="C22">
        <v>3367</v>
      </c>
      <c r="D22">
        <v>0</v>
      </c>
      <c r="E22" t="s">
        <v>14</v>
      </c>
      <c r="F22" t="s">
        <v>15</v>
      </c>
      <c r="G22" t="s">
        <v>99</v>
      </c>
      <c r="H22">
        <v>3410</v>
      </c>
      <c r="I22">
        <v>137000</v>
      </c>
      <c r="K22">
        <v>22</v>
      </c>
      <c r="L22">
        <v>27</v>
      </c>
      <c r="M22">
        <v>51</v>
      </c>
      <c r="N22">
        <v>3.335</v>
      </c>
      <c r="O22" s="7">
        <v>1</v>
      </c>
      <c r="P22" s="8">
        <f t="shared" si="0"/>
        <v>3.9429803346501938E-2</v>
      </c>
      <c r="Q22" s="8">
        <f t="shared" si="1"/>
        <v>0.1792263788477361</v>
      </c>
      <c r="R22" s="8">
        <f t="shared" si="2"/>
        <v>0.14603630869074791</v>
      </c>
      <c r="S22" s="8">
        <f t="shared" si="3"/>
        <v>7.7313339895101835E-2</v>
      </c>
      <c r="T22">
        <f t="shared" si="7"/>
        <v>3347</v>
      </c>
      <c r="U22">
        <f t="shared" si="8"/>
        <v>3387</v>
      </c>
      <c r="V22">
        <f t="shared" si="4"/>
        <v>-20</v>
      </c>
      <c r="W22">
        <f t="shared" si="5"/>
        <v>20</v>
      </c>
      <c r="X22" t="s">
        <v>93</v>
      </c>
      <c r="AB22">
        <v>0</v>
      </c>
      <c r="AC22">
        <v>0</v>
      </c>
      <c r="AD22">
        <v>0</v>
      </c>
      <c r="AE22" s="3" t="s">
        <v>135</v>
      </c>
      <c r="AF22">
        <v>1</v>
      </c>
      <c r="AG22">
        <v>1</v>
      </c>
      <c r="AH22">
        <v>0.2</v>
      </c>
      <c r="AI22" s="24"/>
      <c r="AJ22">
        <v>21</v>
      </c>
    </row>
    <row r="23" spans="1:36" x14ac:dyDescent="0.2">
      <c r="A23">
        <f t="shared" si="6"/>
        <v>22</v>
      </c>
      <c r="B23">
        <v>3327</v>
      </c>
      <c r="C23">
        <v>3327</v>
      </c>
      <c r="D23">
        <v>0</v>
      </c>
      <c r="E23" t="s">
        <v>14</v>
      </c>
      <c r="F23" t="s">
        <v>15</v>
      </c>
      <c r="G23" t="s">
        <v>96</v>
      </c>
      <c r="H23">
        <v>3370</v>
      </c>
      <c r="I23">
        <v>118000</v>
      </c>
      <c r="K23">
        <v>24</v>
      </c>
      <c r="L23">
        <v>35</v>
      </c>
      <c r="M23">
        <v>41</v>
      </c>
      <c r="N23">
        <v>3.335</v>
      </c>
      <c r="O23" s="7">
        <v>1</v>
      </c>
      <c r="P23" s="8">
        <f t="shared" si="0"/>
        <v>4.5778669987040381E-2</v>
      </c>
      <c r="Q23" s="8">
        <f t="shared" si="1"/>
        <v>0.19074445827933492</v>
      </c>
      <c r="R23" s="8">
        <f t="shared" si="2"/>
        <v>0.13079619996297251</v>
      </c>
      <c r="S23" s="8">
        <f t="shared" si="3"/>
        <v>0.111655292651318</v>
      </c>
      <c r="T23">
        <f t="shared" si="7"/>
        <v>3307</v>
      </c>
      <c r="U23">
        <f t="shared" si="8"/>
        <v>3347</v>
      </c>
      <c r="V23">
        <f t="shared" si="4"/>
        <v>-20</v>
      </c>
      <c r="W23">
        <f t="shared" si="5"/>
        <v>20</v>
      </c>
      <c r="X23" t="s">
        <v>36</v>
      </c>
      <c r="AB23">
        <v>0</v>
      </c>
      <c r="AC23">
        <v>0</v>
      </c>
      <c r="AD23">
        <v>0</v>
      </c>
      <c r="AE23" s="3" t="s">
        <v>135</v>
      </c>
      <c r="AF23">
        <v>1</v>
      </c>
      <c r="AG23">
        <v>1</v>
      </c>
      <c r="AH23">
        <v>0.2</v>
      </c>
      <c r="AI23" s="24"/>
      <c r="AJ23">
        <v>22</v>
      </c>
    </row>
    <row r="24" spans="1:36" x14ac:dyDescent="0.2">
      <c r="A24">
        <f t="shared" si="6"/>
        <v>23</v>
      </c>
      <c r="B24">
        <v>3314</v>
      </c>
      <c r="C24">
        <v>3314</v>
      </c>
      <c r="D24">
        <v>0</v>
      </c>
      <c r="E24" t="s">
        <v>14</v>
      </c>
      <c r="F24" t="s">
        <v>15</v>
      </c>
      <c r="G24" t="s">
        <v>95</v>
      </c>
      <c r="H24">
        <v>3357</v>
      </c>
      <c r="I24">
        <v>154000</v>
      </c>
      <c r="K24">
        <v>20</v>
      </c>
      <c r="L24">
        <v>27</v>
      </c>
      <c r="M24">
        <v>53</v>
      </c>
      <c r="N24">
        <v>3.335</v>
      </c>
      <c r="O24" s="7">
        <v>1</v>
      </c>
      <c r="P24" s="8">
        <f t="shared" si="0"/>
        <v>3.5077162717342625E-2</v>
      </c>
      <c r="Q24" s="8">
        <f t="shared" si="1"/>
        <v>0.17538581358671312</v>
      </c>
      <c r="R24" s="8">
        <f t="shared" si="2"/>
        <v>0.12991541747163934</v>
      </c>
      <c r="S24" s="8">
        <f t="shared" si="3"/>
        <v>6.6183325881778526E-2</v>
      </c>
      <c r="T24">
        <f t="shared" si="7"/>
        <v>3294</v>
      </c>
      <c r="U24">
        <f t="shared" si="8"/>
        <v>3334</v>
      </c>
      <c r="V24">
        <f t="shared" si="4"/>
        <v>-20</v>
      </c>
      <c r="W24">
        <f t="shared" si="5"/>
        <v>20</v>
      </c>
      <c r="X24" t="s">
        <v>93</v>
      </c>
      <c r="AB24">
        <v>0</v>
      </c>
      <c r="AC24">
        <v>0</v>
      </c>
      <c r="AD24">
        <v>0</v>
      </c>
      <c r="AE24" s="3" t="s">
        <v>135</v>
      </c>
      <c r="AF24">
        <v>1</v>
      </c>
      <c r="AG24">
        <v>1</v>
      </c>
      <c r="AH24">
        <v>0.2</v>
      </c>
      <c r="AI24" s="24"/>
      <c r="AJ24">
        <v>23</v>
      </c>
    </row>
    <row r="25" spans="1:36" x14ac:dyDescent="0.2">
      <c r="A25">
        <f t="shared" si="6"/>
        <v>24</v>
      </c>
      <c r="B25" s="2">
        <v>3309</v>
      </c>
      <c r="C25">
        <v>3309</v>
      </c>
      <c r="D25">
        <v>0</v>
      </c>
      <c r="E25" t="s">
        <v>14</v>
      </c>
      <c r="F25" t="s">
        <v>15</v>
      </c>
      <c r="G25" t="s">
        <v>101</v>
      </c>
      <c r="H25" s="2">
        <v>3352</v>
      </c>
      <c r="I25" s="2">
        <v>143000</v>
      </c>
      <c r="K25" s="2">
        <v>33</v>
      </c>
      <c r="L25" s="2">
        <v>18</v>
      </c>
      <c r="M25" s="2">
        <v>49</v>
      </c>
      <c r="N25">
        <v>3.335</v>
      </c>
      <c r="O25" s="7">
        <v>1</v>
      </c>
      <c r="P25" s="8">
        <f t="shared" si="0"/>
        <v>3.7775406003292059E-2</v>
      </c>
      <c r="Q25" s="8">
        <f t="shared" si="1"/>
        <v>0.11447092728270321</v>
      </c>
      <c r="R25" s="8">
        <f t="shared" si="2"/>
        <v>0.20986336668495587</v>
      </c>
      <c r="S25" s="8">
        <f t="shared" si="3"/>
        <v>7.7092665312840938E-2</v>
      </c>
      <c r="T25">
        <f t="shared" si="7"/>
        <v>3289</v>
      </c>
      <c r="U25">
        <f t="shared" si="8"/>
        <v>3329</v>
      </c>
      <c r="V25">
        <f t="shared" si="4"/>
        <v>-20</v>
      </c>
      <c r="W25">
        <f t="shared" si="5"/>
        <v>20</v>
      </c>
      <c r="X25" s="2" t="s">
        <v>21</v>
      </c>
      <c r="AB25">
        <v>0.2</v>
      </c>
      <c r="AC25">
        <v>0.2</v>
      </c>
      <c r="AD25">
        <v>0.2</v>
      </c>
      <c r="AE25" s="3" t="s">
        <v>135</v>
      </c>
      <c r="AF25">
        <v>1</v>
      </c>
      <c r="AG25">
        <v>1</v>
      </c>
      <c r="AH25">
        <v>0.2</v>
      </c>
      <c r="AI25" s="26"/>
      <c r="AJ25">
        <v>24</v>
      </c>
    </row>
    <row r="26" spans="1:36" x14ac:dyDescent="0.2">
      <c r="A26">
        <f t="shared" si="6"/>
        <v>25</v>
      </c>
      <c r="B26">
        <v>3084</v>
      </c>
      <c r="C26">
        <v>3084</v>
      </c>
      <c r="D26">
        <v>0</v>
      </c>
      <c r="E26" t="s">
        <v>14</v>
      </c>
      <c r="F26" t="s">
        <v>15</v>
      </c>
      <c r="G26" t="s">
        <v>97</v>
      </c>
      <c r="H26">
        <v>3127</v>
      </c>
      <c r="I26">
        <v>301000</v>
      </c>
      <c r="K26">
        <v>31</v>
      </c>
      <c r="L26">
        <v>37</v>
      </c>
      <c r="M26">
        <v>32</v>
      </c>
      <c r="N26">
        <v>3.335</v>
      </c>
      <c r="O26" s="7">
        <v>1</v>
      </c>
      <c r="P26" s="8">
        <f t="shared" si="0"/>
        <v>1.7946455343756693E-2</v>
      </c>
      <c r="Q26" s="8">
        <f t="shared" si="1"/>
        <v>5.7891791431473209E-2</v>
      </c>
      <c r="R26" s="8">
        <f t="shared" si="2"/>
        <v>4.8503933361504575E-2</v>
      </c>
      <c r="S26" s="8">
        <f t="shared" si="3"/>
        <v>5.6082672949239666E-2</v>
      </c>
      <c r="T26">
        <f t="shared" si="7"/>
        <v>3064</v>
      </c>
      <c r="U26">
        <f t="shared" si="8"/>
        <v>3104</v>
      </c>
      <c r="V26">
        <f t="shared" si="4"/>
        <v>-20</v>
      </c>
      <c r="W26">
        <f t="shared" si="5"/>
        <v>20</v>
      </c>
      <c r="X26" t="s">
        <v>94</v>
      </c>
      <c r="AB26">
        <v>0</v>
      </c>
      <c r="AC26">
        <v>0</v>
      </c>
      <c r="AD26">
        <v>0</v>
      </c>
      <c r="AE26" s="3" t="s">
        <v>135</v>
      </c>
      <c r="AF26">
        <v>1</v>
      </c>
      <c r="AG26">
        <v>1</v>
      </c>
      <c r="AH26">
        <v>0.2</v>
      </c>
      <c r="AI26" s="24"/>
      <c r="AJ26">
        <v>25</v>
      </c>
    </row>
    <row r="27" spans="1:36" x14ac:dyDescent="0.2">
      <c r="A27">
        <f t="shared" si="6"/>
        <v>26</v>
      </c>
      <c r="B27">
        <v>3079</v>
      </c>
      <c r="C27">
        <v>3079</v>
      </c>
      <c r="D27">
        <v>0</v>
      </c>
      <c r="E27" t="s">
        <v>14</v>
      </c>
      <c r="F27" t="s">
        <v>15</v>
      </c>
      <c r="G27" t="s">
        <v>98</v>
      </c>
      <c r="H27">
        <v>3122</v>
      </c>
      <c r="I27">
        <v>301000</v>
      </c>
      <c r="K27">
        <v>31</v>
      </c>
      <c r="L27">
        <v>37</v>
      </c>
      <c r="M27">
        <v>32</v>
      </c>
      <c r="N27">
        <v>3.335</v>
      </c>
      <c r="O27" s="7">
        <v>1</v>
      </c>
      <c r="P27" s="8">
        <f t="shared" si="0"/>
        <v>1.7946455343756693E-2</v>
      </c>
      <c r="Q27" s="8">
        <f t="shared" si="1"/>
        <v>5.7891791431473209E-2</v>
      </c>
      <c r="R27" s="8">
        <f t="shared" si="2"/>
        <v>4.8503933361504575E-2</v>
      </c>
      <c r="S27" s="8">
        <f t="shared" si="3"/>
        <v>5.6082672949239666E-2</v>
      </c>
      <c r="T27">
        <f t="shared" si="7"/>
        <v>3059</v>
      </c>
      <c r="U27">
        <f t="shared" si="8"/>
        <v>3099</v>
      </c>
      <c r="V27">
        <f t="shared" si="4"/>
        <v>-20</v>
      </c>
      <c r="W27">
        <f t="shared" si="5"/>
        <v>20</v>
      </c>
      <c r="X27" t="s">
        <v>94</v>
      </c>
      <c r="AB27">
        <v>0</v>
      </c>
      <c r="AC27">
        <v>0</v>
      </c>
      <c r="AD27">
        <v>0</v>
      </c>
      <c r="AE27" s="3" t="s">
        <v>135</v>
      </c>
      <c r="AF27">
        <v>1</v>
      </c>
      <c r="AG27">
        <v>1</v>
      </c>
      <c r="AH27">
        <v>0.2</v>
      </c>
      <c r="AI27" s="24"/>
      <c r="AJ27">
        <v>26</v>
      </c>
    </row>
    <row r="28" spans="1:36" x14ac:dyDescent="0.2">
      <c r="A28">
        <f t="shared" si="6"/>
        <v>27</v>
      </c>
      <c r="B28">
        <v>3440</v>
      </c>
      <c r="C28">
        <v>3440</v>
      </c>
      <c r="D28">
        <v>0</v>
      </c>
      <c r="E28" t="s">
        <v>81</v>
      </c>
      <c r="F28" t="s">
        <v>82</v>
      </c>
      <c r="G28" t="s">
        <v>71</v>
      </c>
      <c r="H28">
        <v>3440</v>
      </c>
      <c r="I28">
        <v>32900</v>
      </c>
      <c r="N28">
        <v>3.61</v>
      </c>
      <c r="O28" s="7">
        <v>1</v>
      </c>
      <c r="P28" s="8">
        <f t="shared" si="0"/>
        <v>0.15168335171635697</v>
      </c>
      <c r="Q28" s="8" t="e">
        <f t="shared" si="1"/>
        <v>#DIV/0!</v>
      </c>
      <c r="R28" s="8" t="e">
        <f t="shared" si="2"/>
        <v>#DIV/0!</v>
      </c>
      <c r="S28" s="8" t="e">
        <f t="shared" si="3"/>
        <v>#DIV/0!</v>
      </c>
      <c r="V28">
        <f t="shared" si="4"/>
        <v>0</v>
      </c>
      <c r="W28">
        <f t="shared" si="5"/>
        <v>0</v>
      </c>
      <c r="AB28">
        <v>0</v>
      </c>
      <c r="AC28">
        <v>0</v>
      </c>
      <c r="AD28">
        <v>0</v>
      </c>
      <c r="AE28" s="3" t="s">
        <v>135</v>
      </c>
      <c r="AF28">
        <v>1</v>
      </c>
      <c r="AG28">
        <v>1</v>
      </c>
      <c r="AH28">
        <v>0.2</v>
      </c>
      <c r="AI28" s="24"/>
      <c r="AJ28">
        <v>27</v>
      </c>
    </row>
    <row r="29" spans="1:36" x14ac:dyDescent="0.2">
      <c r="A29">
        <f t="shared" si="6"/>
        <v>28</v>
      </c>
      <c r="B29">
        <v>3410</v>
      </c>
      <c r="C29">
        <v>3410</v>
      </c>
      <c r="D29">
        <v>0</v>
      </c>
      <c r="E29" t="s">
        <v>81</v>
      </c>
      <c r="F29" t="s">
        <v>82</v>
      </c>
      <c r="G29" t="s">
        <v>72</v>
      </c>
      <c r="H29">
        <v>3410</v>
      </c>
      <c r="I29">
        <v>32900</v>
      </c>
      <c r="N29">
        <v>3.61</v>
      </c>
      <c r="O29" s="7">
        <v>1</v>
      </c>
      <c r="P29" s="8">
        <f t="shared" si="0"/>
        <v>0.15168335171635697</v>
      </c>
      <c r="Q29" s="8" t="e">
        <f t="shared" si="1"/>
        <v>#DIV/0!</v>
      </c>
      <c r="R29" s="8" t="e">
        <f t="shared" si="2"/>
        <v>#DIV/0!</v>
      </c>
      <c r="S29" s="8" t="e">
        <f t="shared" si="3"/>
        <v>#DIV/0!</v>
      </c>
      <c r="V29">
        <f t="shared" si="4"/>
        <v>0</v>
      </c>
      <c r="W29">
        <f t="shared" si="5"/>
        <v>0</v>
      </c>
      <c r="AB29">
        <v>0</v>
      </c>
      <c r="AC29">
        <v>0</v>
      </c>
      <c r="AD29">
        <v>0</v>
      </c>
      <c r="AE29" s="3" t="s">
        <v>135</v>
      </c>
      <c r="AF29">
        <v>1</v>
      </c>
      <c r="AG29">
        <v>1</v>
      </c>
      <c r="AH29">
        <v>0.2</v>
      </c>
      <c r="AI29" s="24"/>
      <c r="AJ29">
        <v>28</v>
      </c>
    </row>
    <row r="30" spans="1:36" x14ac:dyDescent="0.2">
      <c r="A30">
        <f t="shared" si="6"/>
        <v>29</v>
      </c>
      <c r="B30">
        <v>3385</v>
      </c>
      <c r="C30">
        <v>3385</v>
      </c>
      <c r="D30">
        <v>0</v>
      </c>
      <c r="E30" t="s">
        <v>81</v>
      </c>
      <c r="F30" t="s">
        <v>82</v>
      </c>
      <c r="G30" t="s">
        <v>73</v>
      </c>
      <c r="H30">
        <v>3385</v>
      </c>
      <c r="I30">
        <v>32900</v>
      </c>
      <c r="N30">
        <v>3.61</v>
      </c>
      <c r="O30" s="7">
        <v>1</v>
      </c>
      <c r="P30" s="8">
        <f t="shared" si="0"/>
        <v>0.15168335171635697</v>
      </c>
      <c r="Q30" s="8" t="e">
        <f t="shared" si="1"/>
        <v>#DIV/0!</v>
      </c>
      <c r="R30" s="8" t="e">
        <f t="shared" si="2"/>
        <v>#DIV/0!</v>
      </c>
      <c r="S30" s="8" t="e">
        <f t="shared" si="3"/>
        <v>#DIV/0!</v>
      </c>
      <c r="V30">
        <f t="shared" si="4"/>
        <v>0</v>
      </c>
      <c r="W30">
        <f t="shared" si="5"/>
        <v>0</v>
      </c>
      <c r="AB30">
        <v>0</v>
      </c>
      <c r="AC30">
        <v>0</v>
      </c>
      <c r="AD30">
        <v>0</v>
      </c>
      <c r="AE30" s="3" t="s">
        <v>135</v>
      </c>
      <c r="AF30">
        <v>1</v>
      </c>
      <c r="AG30">
        <v>1</v>
      </c>
      <c r="AH30">
        <v>0.2</v>
      </c>
      <c r="AI30" s="24"/>
      <c r="AJ30">
        <v>29</v>
      </c>
    </row>
    <row r="31" spans="1:36" x14ac:dyDescent="0.2">
      <c r="A31">
        <f t="shared" si="6"/>
        <v>30</v>
      </c>
      <c r="B31">
        <v>3275</v>
      </c>
      <c r="C31">
        <v>3275</v>
      </c>
      <c r="D31">
        <v>0</v>
      </c>
      <c r="E31" t="s">
        <v>81</v>
      </c>
      <c r="F31" t="s">
        <v>82</v>
      </c>
      <c r="G31" t="s">
        <v>74</v>
      </c>
      <c r="H31">
        <v>3275</v>
      </c>
      <c r="I31">
        <v>32900</v>
      </c>
      <c r="N31">
        <v>3.61</v>
      </c>
      <c r="O31" s="7">
        <v>1</v>
      </c>
      <c r="P31" s="8">
        <f t="shared" si="0"/>
        <v>0.15168335171635697</v>
      </c>
      <c r="Q31" s="8" t="e">
        <f t="shared" si="1"/>
        <v>#DIV/0!</v>
      </c>
      <c r="R31" s="8" t="e">
        <f t="shared" si="2"/>
        <v>#DIV/0!</v>
      </c>
      <c r="S31" s="8" t="e">
        <f t="shared" si="3"/>
        <v>#DIV/0!</v>
      </c>
      <c r="V31">
        <f t="shared" si="4"/>
        <v>0</v>
      </c>
      <c r="W31">
        <f t="shared" si="5"/>
        <v>0</v>
      </c>
      <c r="AB31">
        <v>0</v>
      </c>
      <c r="AC31">
        <v>0</v>
      </c>
      <c r="AD31">
        <v>0</v>
      </c>
      <c r="AE31" s="3" t="s">
        <v>135</v>
      </c>
      <c r="AF31">
        <v>1</v>
      </c>
      <c r="AG31">
        <v>1</v>
      </c>
      <c r="AH31">
        <v>0.2</v>
      </c>
      <c r="AI31" s="24"/>
      <c r="AJ31">
        <v>30</v>
      </c>
    </row>
    <row r="32" spans="1:36" x14ac:dyDescent="0.2">
      <c r="A32">
        <f t="shared" si="6"/>
        <v>31</v>
      </c>
      <c r="B32">
        <v>3260</v>
      </c>
      <c r="C32">
        <v>3260</v>
      </c>
      <c r="D32">
        <v>0</v>
      </c>
      <c r="E32" t="s">
        <v>81</v>
      </c>
      <c r="F32" t="s">
        <v>82</v>
      </c>
      <c r="G32" t="s">
        <v>75</v>
      </c>
      <c r="H32">
        <v>3260</v>
      </c>
      <c r="I32">
        <v>32900</v>
      </c>
      <c r="N32">
        <v>3.61</v>
      </c>
      <c r="O32" s="7">
        <v>1</v>
      </c>
      <c r="P32" s="8">
        <f t="shared" si="0"/>
        <v>0.15168335171635697</v>
      </c>
      <c r="Q32" s="8" t="e">
        <f t="shared" si="1"/>
        <v>#DIV/0!</v>
      </c>
      <c r="R32" s="8" t="e">
        <f t="shared" si="2"/>
        <v>#DIV/0!</v>
      </c>
      <c r="S32" s="8" t="e">
        <f t="shared" si="3"/>
        <v>#DIV/0!</v>
      </c>
      <c r="V32">
        <f t="shared" si="4"/>
        <v>0</v>
      </c>
      <c r="W32">
        <f t="shared" si="5"/>
        <v>0</v>
      </c>
      <c r="AB32">
        <v>0</v>
      </c>
      <c r="AC32">
        <v>0</v>
      </c>
      <c r="AD32">
        <v>0</v>
      </c>
      <c r="AE32" s="3" t="s">
        <v>135</v>
      </c>
      <c r="AF32">
        <v>1</v>
      </c>
      <c r="AG32">
        <v>1</v>
      </c>
      <c r="AH32">
        <v>0.2</v>
      </c>
      <c r="AI32" s="24"/>
      <c r="AJ32">
        <v>31</v>
      </c>
    </row>
    <row r="33" spans="1:36" x14ac:dyDescent="0.2">
      <c r="A33">
        <f t="shared" si="6"/>
        <v>32</v>
      </c>
      <c r="B33">
        <v>3613</v>
      </c>
      <c r="C33">
        <v>3613</v>
      </c>
      <c r="D33">
        <v>0</v>
      </c>
      <c r="E33" t="s">
        <v>14</v>
      </c>
      <c r="F33" t="s">
        <v>76</v>
      </c>
      <c r="G33" t="s">
        <v>85</v>
      </c>
      <c r="H33">
        <v>3613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7">
        <v>0</v>
      </c>
      <c r="P33" s="8" t="e">
        <f t="shared" si="0"/>
        <v>#DIV/0!</v>
      </c>
      <c r="Q33" s="8" t="e">
        <f t="shared" si="1"/>
        <v>#DIV/0!</v>
      </c>
      <c r="R33" s="8" t="e">
        <f t="shared" si="2"/>
        <v>#DIV/0!</v>
      </c>
      <c r="S33" s="8" t="e">
        <f t="shared" si="3"/>
        <v>#DIV/0!</v>
      </c>
      <c r="T33">
        <v>0</v>
      </c>
      <c r="U33">
        <v>0</v>
      </c>
      <c r="V33">
        <f t="shared" si="4"/>
        <v>0</v>
      </c>
      <c r="W33">
        <f t="shared" si="5"/>
        <v>0</v>
      </c>
      <c r="X33" t="s">
        <v>84</v>
      </c>
      <c r="Y33" t="s">
        <v>91</v>
      </c>
      <c r="AB33">
        <v>1</v>
      </c>
      <c r="AC33">
        <v>0</v>
      </c>
      <c r="AD33">
        <v>0</v>
      </c>
      <c r="AE33" s="3" t="s">
        <v>135</v>
      </c>
      <c r="AF33">
        <v>1</v>
      </c>
      <c r="AG33">
        <v>1</v>
      </c>
      <c r="AH33">
        <v>0.2</v>
      </c>
      <c r="AI33" s="11"/>
      <c r="AJ33">
        <v>32</v>
      </c>
    </row>
    <row r="34" spans="1:36" x14ac:dyDescent="0.2">
      <c r="A34">
        <f t="shared" si="6"/>
        <v>33</v>
      </c>
      <c r="B34">
        <v>3520</v>
      </c>
      <c r="C34">
        <v>3520</v>
      </c>
      <c r="D34">
        <v>0</v>
      </c>
      <c r="E34" t="s">
        <v>14</v>
      </c>
      <c r="F34" t="s">
        <v>76</v>
      </c>
      <c r="G34" t="s">
        <v>78</v>
      </c>
      <c r="H34">
        <v>3576</v>
      </c>
      <c r="I34">
        <v>95000</v>
      </c>
      <c r="K34">
        <v>28</v>
      </c>
      <c r="L34">
        <v>17</v>
      </c>
      <c r="M34">
        <v>55</v>
      </c>
      <c r="N34">
        <v>3.335</v>
      </c>
      <c r="O34" s="7">
        <v>1</v>
      </c>
      <c r="P34" s="8">
        <f t="shared" ref="P34:P70" si="9">(18.01528/($N34*$I34)*1000)</f>
        <v>5.6861926931271213E-2</v>
      </c>
      <c r="Q34" s="8">
        <f t="shared" ref="Q34:Q70" si="10">(1/(K34/100))*$P34</f>
        <v>0.20307831046882574</v>
      </c>
      <c r="R34" s="8">
        <f t="shared" ref="R34:R70" si="11">(1/(L34/100))*$P34</f>
        <v>0.33448192312512476</v>
      </c>
      <c r="S34" s="8">
        <f t="shared" ref="S34:S70" si="12">(1/(M34/100))*$P34</f>
        <v>0.10338532169322039</v>
      </c>
      <c r="T34">
        <v>3500</v>
      </c>
      <c r="U34">
        <v>3530</v>
      </c>
      <c r="V34">
        <f t="shared" ref="V34:V70" si="13">IF(T34=0,0,-(C34-T34))</f>
        <v>-20</v>
      </c>
      <c r="W34">
        <f t="shared" ref="W34:W70" si="14">IF(U34=0,0,(U34-C34))</f>
        <v>10</v>
      </c>
      <c r="X34" t="s">
        <v>93</v>
      </c>
      <c r="AB34">
        <v>0.2</v>
      </c>
      <c r="AC34">
        <v>0.2</v>
      </c>
      <c r="AD34">
        <v>0.2</v>
      </c>
      <c r="AE34" s="3" t="s">
        <v>135</v>
      </c>
      <c r="AF34">
        <v>1</v>
      </c>
      <c r="AG34">
        <v>1</v>
      </c>
      <c r="AH34">
        <v>0.2</v>
      </c>
      <c r="AI34" s="26"/>
      <c r="AJ34">
        <v>33</v>
      </c>
    </row>
    <row r="35" spans="1:36" x14ac:dyDescent="0.2">
      <c r="A35">
        <f t="shared" si="6"/>
        <v>34</v>
      </c>
      <c r="B35">
        <v>3463</v>
      </c>
      <c r="C35">
        <v>3463</v>
      </c>
      <c r="D35">
        <v>0</v>
      </c>
      <c r="E35" t="s">
        <v>14</v>
      </c>
      <c r="F35" t="s">
        <v>76</v>
      </c>
      <c r="G35" t="s">
        <v>77</v>
      </c>
      <c r="H35">
        <v>3506</v>
      </c>
      <c r="I35">
        <v>90000</v>
      </c>
      <c r="K35">
        <v>17</v>
      </c>
      <c r="L35">
        <v>27</v>
      </c>
      <c r="M35">
        <v>56</v>
      </c>
      <c r="N35">
        <v>3.335</v>
      </c>
      <c r="O35" s="7">
        <v>1</v>
      </c>
      <c r="P35" s="8">
        <f t="shared" si="9"/>
        <v>6.0020922871897392E-2</v>
      </c>
      <c r="Q35" s="8">
        <f t="shared" si="10"/>
        <v>0.35306425218763171</v>
      </c>
      <c r="R35" s="8">
        <f t="shared" si="11"/>
        <v>0.22229971434036069</v>
      </c>
      <c r="S35" s="8">
        <f t="shared" si="12"/>
        <v>0.10718021941410248</v>
      </c>
      <c r="T35">
        <v>3438</v>
      </c>
      <c r="U35">
        <v>3465</v>
      </c>
      <c r="V35">
        <f t="shared" si="13"/>
        <v>-25</v>
      </c>
      <c r="W35">
        <f t="shared" si="14"/>
        <v>2</v>
      </c>
      <c r="X35" t="s">
        <v>93</v>
      </c>
      <c r="AB35">
        <v>0.2</v>
      </c>
      <c r="AC35">
        <v>0.2</v>
      </c>
      <c r="AD35">
        <v>0.2</v>
      </c>
      <c r="AE35" s="3" t="s">
        <v>135</v>
      </c>
      <c r="AF35">
        <v>1</v>
      </c>
      <c r="AG35">
        <v>1</v>
      </c>
      <c r="AH35">
        <v>0.2</v>
      </c>
      <c r="AI35" s="26"/>
      <c r="AJ35">
        <v>34</v>
      </c>
    </row>
    <row r="36" spans="1:36" x14ac:dyDescent="0.2">
      <c r="A36">
        <f t="shared" si="6"/>
        <v>35</v>
      </c>
      <c r="B36">
        <v>3432</v>
      </c>
      <c r="C36">
        <v>3432</v>
      </c>
      <c r="D36">
        <v>0</v>
      </c>
      <c r="E36" t="s">
        <v>14</v>
      </c>
      <c r="F36" t="s">
        <v>76</v>
      </c>
      <c r="G36" t="s">
        <v>83</v>
      </c>
      <c r="H36">
        <v>3481</v>
      </c>
      <c r="I36">
        <v>125000</v>
      </c>
      <c r="K36">
        <v>42</v>
      </c>
      <c r="L36">
        <v>29</v>
      </c>
      <c r="M36">
        <v>29</v>
      </c>
      <c r="N36">
        <v>3.335</v>
      </c>
      <c r="O36" s="7">
        <v>1</v>
      </c>
      <c r="P36" s="8">
        <f t="shared" si="9"/>
        <v>4.3215064467766122E-2</v>
      </c>
      <c r="Q36" s="8">
        <f t="shared" si="10"/>
        <v>0.10289301063753839</v>
      </c>
      <c r="R36" s="8">
        <f t="shared" si="11"/>
        <v>0.14901746368195215</v>
      </c>
      <c r="S36" s="8">
        <f t="shared" si="12"/>
        <v>0.14901746368195215</v>
      </c>
      <c r="T36">
        <v>3413</v>
      </c>
      <c r="U36">
        <v>3450</v>
      </c>
      <c r="V36">
        <f t="shared" si="13"/>
        <v>-19</v>
      </c>
      <c r="W36">
        <f t="shared" si="14"/>
        <v>18</v>
      </c>
      <c r="X36" t="s">
        <v>32</v>
      </c>
      <c r="AB36">
        <v>0</v>
      </c>
      <c r="AC36">
        <v>1</v>
      </c>
      <c r="AD36">
        <v>0</v>
      </c>
      <c r="AE36" s="3" t="s">
        <v>135</v>
      </c>
      <c r="AF36">
        <v>1</v>
      </c>
      <c r="AG36">
        <v>1</v>
      </c>
      <c r="AH36">
        <v>0.2</v>
      </c>
      <c r="AI36" s="27"/>
      <c r="AJ36">
        <v>35</v>
      </c>
    </row>
    <row r="37" spans="1:36" x14ac:dyDescent="0.2">
      <c r="A37">
        <f t="shared" si="6"/>
        <v>36</v>
      </c>
      <c r="B37">
        <v>3645</v>
      </c>
      <c r="C37">
        <v>3645</v>
      </c>
      <c r="D37">
        <v>0</v>
      </c>
      <c r="E37" t="s">
        <v>14</v>
      </c>
      <c r="F37" t="s">
        <v>76</v>
      </c>
      <c r="G37" t="s">
        <v>16</v>
      </c>
      <c r="H37">
        <v>3688</v>
      </c>
      <c r="I37">
        <v>37000</v>
      </c>
      <c r="K37">
        <v>46</v>
      </c>
      <c r="L37">
        <v>53</v>
      </c>
      <c r="M37">
        <v>1</v>
      </c>
      <c r="N37">
        <v>3.335</v>
      </c>
      <c r="O37" s="7">
        <v>1</v>
      </c>
      <c r="P37" s="8">
        <f t="shared" si="9"/>
        <v>0.14599683941812877</v>
      </c>
      <c r="Q37" s="8">
        <f t="shared" si="10"/>
        <v>0.31738443351767121</v>
      </c>
      <c r="R37" s="8">
        <f t="shared" si="11"/>
        <v>0.27546573475118635</v>
      </c>
      <c r="S37" s="8">
        <f t="shared" si="12"/>
        <v>14.599683941812877</v>
      </c>
      <c r="T37">
        <v>3640</v>
      </c>
      <c r="U37">
        <v>3650</v>
      </c>
      <c r="V37">
        <f t="shared" si="13"/>
        <v>-5</v>
      </c>
      <c r="W37">
        <f t="shared" si="14"/>
        <v>5</v>
      </c>
      <c r="X37" t="s">
        <v>17</v>
      </c>
      <c r="AB37">
        <v>0.5</v>
      </c>
      <c r="AC37">
        <v>0.9</v>
      </c>
      <c r="AD37">
        <v>0.35</v>
      </c>
      <c r="AE37" s="3" t="s">
        <v>135</v>
      </c>
      <c r="AF37">
        <v>1</v>
      </c>
      <c r="AG37">
        <v>1</v>
      </c>
      <c r="AH37">
        <v>0.2</v>
      </c>
      <c r="AI37" s="25"/>
      <c r="AJ37">
        <v>36</v>
      </c>
    </row>
    <row r="38" spans="1:36" x14ac:dyDescent="0.2">
      <c r="A38">
        <f t="shared" si="6"/>
        <v>37</v>
      </c>
      <c r="B38">
        <v>3622</v>
      </c>
      <c r="C38">
        <v>3622</v>
      </c>
      <c r="D38">
        <v>0</v>
      </c>
      <c r="E38" t="s">
        <v>14</v>
      </c>
      <c r="F38" t="s">
        <v>80</v>
      </c>
      <c r="G38" t="s">
        <v>18</v>
      </c>
      <c r="H38">
        <v>3685</v>
      </c>
      <c r="I38">
        <v>45000</v>
      </c>
      <c r="K38">
        <v>31</v>
      </c>
      <c r="L38">
        <v>65</v>
      </c>
      <c r="M38">
        <v>4</v>
      </c>
      <c r="N38">
        <v>3.335</v>
      </c>
      <c r="O38" s="7">
        <v>1</v>
      </c>
      <c r="P38" s="8">
        <f t="shared" si="9"/>
        <v>0.12004184574379478</v>
      </c>
      <c r="Q38" s="8">
        <f t="shared" si="10"/>
        <v>0.38723176046385416</v>
      </c>
      <c r="R38" s="8">
        <f t="shared" si="11"/>
        <v>0.18467976268276118</v>
      </c>
      <c r="S38" s="8">
        <f t="shared" si="12"/>
        <v>3.0010461435948694</v>
      </c>
      <c r="T38">
        <v>3615</v>
      </c>
      <c r="U38">
        <v>3650</v>
      </c>
      <c r="V38">
        <f t="shared" si="13"/>
        <v>-7</v>
      </c>
      <c r="W38">
        <f t="shared" si="14"/>
        <v>28</v>
      </c>
      <c r="X38" t="s">
        <v>19</v>
      </c>
      <c r="AB38">
        <v>0.5</v>
      </c>
      <c r="AC38">
        <v>0</v>
      </c>
      <c r="AD38">
        <v>0</v>
      </c>
      <c r="AE38" s="3" t="s">
        <v>135</v>
      </c>
      <c r="AF38">
        <v>1</v>
      </c>
      <c r="AG38">
        <v>1</v>
      </c>
      <c r="AH38">
        <v>0.2</v>
      </c>
      <c r="AI38" s="28"/>
      <c r="AJ38">
        <v>37</v>
      </c>
    </row>
    <row r="39" spans="1:36" x14ac:dyDescent="0.2">
      <c r="A39">
        <f t="shared" si="6"/>
        <v>38</v>
      </c>
      <c r="B39">
        <v>3547</v>
      </c>
      <c r="C39">
        <v>3547</v>
      </c>
      <c r="D39">
        <v>0</v>
      </c>
      <c r="E39" t="s">
        <v>14</v>
      </c>
      <c r="F39" t="s">
        <v>80</v>
      </c>
      <c r="G39" t="s">
        <v>20</v>
      </c>
      <c r="H39">
        <v>3590</v>
      </c>
      <c r="I39">
        <v>61000</v>
      </c>
      <c r="K39">
        <v>5</v>
      </c>
      <c r="L39">
        <v>12</v>
      </c>
      <c r="M39">
        <v>83</v>
      </c>
      <c r="N39">
        <v>3.335</v>
      </c>
      <c r="O39" s="7">
        <v>1</v>
      </c>
      <c r="P39" s="8">
        <f t="shared" si="9"/>
        <v>8.855545997493057E-2</v>
      </c>
      <c r="Q39" s="8">
        <f t="shared" si="10"/>
        <v>1.7711091994986115</v>
      </c>
      <c r="R39" s="8">
        <f t="shared" si="11"/>
        <v>0.73796216645775481</v>
      </c>
      <c r="S39" s="8">
        <f t="shared" si="12"/>
        <v>0.1066933252710007</v>
      </c>
      <c r="T39">
        <v>3530</v>
      </c>
      <c r="U39">
        <v>3550</v>
      </c>
      <c r="V39">
        <f t="shared" si="13"/>
        <v>-17</v>
      </c>
      <c r="W39">
        <f t="shared" si="14"/>
        <v>3</v>
      </c>
      <c r="X39" t="s">
        <v>21</v>
      </c>
      <c r="AB39">
        <v>0.5</v>
      </c>
      <c r="AC39">
        <v>0.9</v>
      </c>
      <c r="AD39">
        <v>0.35</v>
      </c>
      <c r="AE39" s="3" t="s">
        <v>135</v>
      </c>
      <c r="AF39">
        <v>1</v>
      </c>
      <c r="AG39">
        <v>1</v>
      </c>
      <c r="AH39">
        <v>0.2</v>
      </c>
      <c r="AI39" s="25"/>
      <c r="AJ39">
        <v>38</v>
      </c>
    </row>
    <row r="40" spans="1:36" x14ac:dyDescent="0.2">
      <c r="A40">
        <f t="shared" si="6"/>
        <v>39</v>
      </c>
      <c r="B40">
        <v>3532</v>
      </c>
      <c r="C40">
        <v>3532</v>
      </c>
      <c r="D40">
        <v>0</v>
      </c>
      <c r="E40" t="s">
        <v>14</v>
      </c>
      <c r="F40" t="s">
        <v>80</v>
      </c>
      <c r="G40" t="s">
        <v>23</v>
      </c>
      <c r="H40">
        <v>3575</v>
      </c>
      <c r="I40">
        <v>65000</v>
      </c>
      <c r="K40">
        <v>5</v>
      </c>
      <c r="L40">
        <v>14</v>
      </c>
      <c r="M40">
        <v>81</v>
      </c>
      <c r="N40">
        <v>3.335</v>
      </c>
      <c r="O40" s="7">
        <v>1</v>
      </c>
      <c r="P40" s="8">
        <f t="shared" si="9"/>
        <v>8.3105893207242529E-2</v>
      </c>
      <c r="Q40" s="8">
        <f t="shared" si="10"/>
        <v>1.6621178641448506</v>
      </c>
      <c r="R40" s="8">
        <f t="shared" si="11"/>
        <v>0.59361352290887515</v>
      </c>
      <c r="S40" s="8">
        <f t="shared" si="12"/>
        <v>0.10259986815708953</v>
      </c>
      <c r="T40">
        <v>3520</v>
      </c>
      <c r="U40">
        <v>3540</v>
      </c>
      <c r="V40">
        <f t="shared" si="13"/>
        <v>-12</v>
      </c>
      <c r="W40">
        <f t="shared" si="14"/>
        <v>8</v>
      </c>
      <c r="X40" t="s">
        <v>21</v>
      </c>
      <c r="AB40">
        <v>0.5</v>
      </c>
      <c r="AC40">
        <v>0.9</v>
      </c>
      <c r="AD40">
        <v>0.35</v>
      </c>
      <c r="AE40" s="3" t="s">
        <v>135</v>
      </c>
      <c r="AF40">
        <v>1</v>
      </c>
      <c r="AG40">
        <v>1</v>
      </c>
      <c r="AH40">
        <v>0.2</v>
      </c>
      <c r="AI40" s="25"/>
      <c r="AJ40">
        <v>39</v>
      </c>
    </row>
    <row r="41" spans="1:36" x14ac:dyDescent="0.2">
      <c r="A41">
        <f t="shared" si="6"/>
        <v>40</v>
      </c>
      <c r="B41">
        <v>3463</v>
      </c>
      <c r="C41">
        <v>3463</v>
      </c>
      <c r="D41">
        <v>0</v>
      </c>
      <c r="E41" t="s">
        <v>14</v>
      </c>
      <c r="F41" t="s">
        <v>80</v>
      </c>
      <c r="G41" t="s">
        <v>29</v>
      </c>
      <c r="H41">
        <v>3506</v>
      </c>
      <c r="I41">
        <v>90000</v>
      </c>
      <c r="K41">
        <v>17</v>
      </c>
      <c r="L41">
        <v>27</v>
      </c>
      <c r="M41">
        <v>56</v>
      </c>
      <c r="N41">
        <v>3.335</v>
      </c>
      <c r="O41" s="7">
        <v>1</v>
      </c>
      <c r="P41" s="8">
        <f t="shared" si="9"/>
        <v>6.0020922871897392E-2</v>
      </c>
      <c r="Q41" s="8">
        <f t="shared" si="10"/>
        <v>0.35306425218763171</v>
      </c>
      <c r="R41" s="8">
        <f t="shared" si="11"/>
        <v>0.22229971434036069</v>
      </c>
      <c r="S41" s="8">
        <f t="shared" si="12"/>
        <v>0.10718021941410248</v>
      </c>
      <c r="T41">
        <v>3438</v>
      </c>
      <c r="U41">
        <v>3465</v>
      </c>
      <c r="V41">
        <f t="shared" si="13"/>
        <v>-25</v>
      </c>
      <c r="W41">
        <f t="shared" si="14"/>
        <v>2</v>
      </c>
      <c r="X41" t="s">
        <v>17</v>
      </c>
      <c r="AB41">
        <v>0.5</v>
      </c>
      <c r="AC41">
        <v>0.9</v>
      </c>
      <c r="AD41">
        <v>0.35</v>
      </c>
      <c r="AE41" s="3" t="s">
        <v>135</v>
      </c>
      <c r="AF41">
        <v>1</v>
      </c>
      <c r="AG41">
        <v>1</v>
      </c>
      <c r="AH41">
        <v>0.2</v>
      </c>
      <c r="AI41" s="25"/>
      <c r="AJ41">
        <v>40</v>
      </c>
    </row>
    <row r="42" spans="1:36" x14ac:dyDescent="0.2">
      <c r="A42">
        <f t="shared" si="6"/>
        <v>41</v>
      </c>
      <c r="B42">
        <v>3432</v>
      </c>
      <c r="C42">
        <v>3432</v>
      </c>
      <c r="D42">
        <v>0</v>
      </c>
      <c r="E42" t="s">
        <v>14</v>
      </c>
      <c r="F42" t="s">
        <v>80</v>
      </c>
      <c r="G42" t="s">
        <v>83</v>
      </c>
      <c r="H42">
        <v>3481</v>
      </c>
      <c r="I42">
        <v>125000</v>
      </c>
      <c r="K42">
        <v>42</v>
      </c>
      <c r="L42">
        <v>29</v>
      </c>
      <c r="M42">
        <v>29</v>
      </c>
      <c r="N42">
        <v>3.335</v>
      </c>
      <c r="O42" s="7">
        <v>1</v>
      </c>
      <c r="P42" s="8">
        <f t="shared" si="9"/>
        <v>4.3215064467766122E-2</v>
      </c>
      <c r="Q42" s="8">
        <f t="shared" si="10"/>
        <v>0.10289301063753839</v>
      </c>
      <c r="R42" s="8">
        <f t="shared" si="11"/>
        <v>0.14901746368195215</v>
      </c>
      <c r="S42" s="8">
        <f t="shared" si="12"/>
        <v>0.14901746368195215</v>
      </c>
      <c r="T42">
        <v>3413</v>
      </c>
      <c r="U42">
        <v>3450</v>
      </c>
      <c r="V42">
        <f t="shared" si="13"/>
        <v>-19</v>
      </c>
      <c r="W42">
        <f t="shared" si="14"/>
        <v>18</v>
      </c>
      <c r="X42" t="s">
        <v>32</v>
      </c>
      <c r="AB42">
        <v>0</v>
      </c>
      <c r="AC42">
        <v>1</v>
      </c>
      <c r="AD42">
        <v>0</v>
      </c>
      <c r="AE42" s="3" t="s">
        <v>135</v>
      </c>
      <c r="AF42">
        <v>1</v>
      </c>
      <c r="AG42">
        <v>1</v>
      </c>
      <c r="AH42">
        <v>0.2</v>
      </c>
      <c r="AI42" s="27"/>
      <c r="AJ42">
        <v>41</v>
      </c>
    </row>
    <row r="43" spans="1:36" x14ac:dyDescent="0.2">
      <c r="A43">
        <f t="shared" si="6"/>
        <v>42</v>
      </c>
      <c r="B43">
        <v>3720</v>
      </c>
      <c r="C43">
        <v>3720</v>
      </c>
      <c r="D43">
        <v>0</v>
      </c>
      <c r="E43" t="s">
        <v>14</v>
      </c>
      <c r="F43" t="s">
        <v>102</v>
      </c>
      <c r="G43" t="s">
        <v>103</v>
      </c>
      <c r="H43">
        <v>3674</v>
      </c>
      <c r="I43">
        <v>0</v>
      </c>
      <c r="K43">
        <v>0</v>
      </c>
      <c r="L43">
        <v>0</v>
      </c>
      <c r="M43">
        <v>0</v>
      </c>
      <c r="N43">
        <v>0</v>
      </c>
      <c r="O43" s="7">
        <v>0</v>
      </c>
      <c r="P43" s="8" t="e">
        <f t="shared" si="9"/>
        <v>#DIV/0!</v>
      </c>
      <c r="Q43" s="8" t="e">
        <f t="shared" si="10"/>
        <v>#DIV/0!</v>
      </c>
      <c r="R43" s="8" t="e">
        <f t="shared" si="11"/>
        <v>#DIV/0!</v>
      </c>
      <c r="S43" s="8" t="e">
        <f t="shared" si="12"/>
        <v>#DIV/0!</v>
      </c>
      <c r="T43">
        <v>0</v>
      </c>
      <c r="U43">
        <v>0</v>
      </c>
      <c r="V43">
        <f t="shared" si="13"/>
        <v>0</v>
      </c>
      <c r="W43">
        <f t="shared" si="14"/>
        <v>0</v>
      </c>
      <c r="X43" t="s">
        <v>84</v>
      </c>
      <c r="Y43" t="s">
        <v>105</v>
      </c>
      <c r="AB43">
        <v>1</v>
      </c>
      <c r="AC43">
        <v>0</v>
      </c>
      <c r="AD43">
        <v>0</v>
      </c>
      <c r="AE43" s="3" t="s">
        <v>135</v>
      </c>
      <c r="AF43">
        <v>1</v>
      </c>
      <c r="AG43">
        <v>1</v>
      </c>
      <c r="AH43">
        <v>0.2</v>
      </c>
      <c r="AI43" s="11"/>
      <c r="AJ43">
        <v>42</v>
      </c>
    </row>
    <row r="44" spans="1:36" x14ac:dyDescent="0.2">
      <c r="A44">
        <f t="shared" si="6"/>
        <v>43</v>
      </c>
      <c r="B44">
        <v>3668</v>
      </c>
      <c r="C44">
        <v>3668</v>
      </c>
      <c r="D44">
        <v>0</v>
      </c>
      <c r="E44" t="s">
        <v>14</v>
      </c>
      <c r="F44" t="s">
        <v>102</v>
      </c>
      <c r="G44" t="s">
        <v>104</v>
      </c>
      <c r="H44">
        <v>3660</v>
      </c>
      <c r="I44">
        <v>0</v>
      </c>
      <c r="K44">
        <v>0</v>
      </c>
      <c r="L44">
        <v>0</v>
      </c>
      <c r="M44">
        <v>0</v>
      </c>
      <c r="N44">
        <v>0</v>
      </c>
      <c r="O44" s="7">
        <v>0</v>
      </c>
      <c r="P44" s="8" t="e">
        <f t="shared" si="9"/>
        <v>#DIV/0!</v>
      </c>
      <c r="Q44" s="8" t="e">
        <f t="shared" si="10"/>
        <v>#DIV/0!</v>
      </c>
      <c r="R44" s="8" t="e">
        <f t="shared" si="11"/>
        <v>#DIV/0!</v>
      </c>
      <c r="S44" s="8" t="e">
        <f t="shared" si="12"/>
        <v>#DIV/0!</v>
      </c>
      <c r="T44">
        <v>0</v>
      </c>
      <c r="U44">
        <v>0</v>
      </c>
      <c r="V44">
        <f t="shared" si="13"/>
        <v>0</v>
      </c>
      <c r="W44">
        <f t="shared" si="14"/>
        <v>0</v>
      </c>
      <c r="X44" t="s">
        <v>84</v>
      </c>
      <c r="Y44" t="s">
        <v>105</v>
      </c>
      <c r="AB44">
        <v>1</v>
      </c>
      <c r="AC44">
        <v>0</v>
      </c>
      <c r="AD44">
        <v>0</v>
      </c>
      <c r="AE44" s="3" t="s">
        <v>135</v>
      </c>
      <c r="AF44">
        <v>1</v>
      </c>
      <c r="AG44">
        <v>1</v>
      </c>
      <c r="AH44">
        <v>0.2</v>
      </c>
      <c r="AI44" s="11"/>
      <c r="AJ44">
        <v>43</v>
      </c>
    </row>
    <row r="45" spans="1:36" x14ac:dyDescent="0.2">
      <c r="A45">
        <f t="shared" si="6"/>
        <v>44</v>
      </c>
      <c r="B45">
        <v>3645</v>
      </c>
      <c r="C45">
        <v>3645</v>
      </c>
      <c r="D45">
        <v>0</v>
      </c>
      <c r="E45" t="s">
        <v>14</v>
      </c>
      <c r="F45" t="s">
        <v>102</v>
      </c>
      <c r="G45" t="s">
        <v>79</v>
      </c>
      <c r="H45">
        <v>3688</v>
      </c>
      <c r="I45">
        <v>40000</v>
      </c>
      <c r="K45">
        <v>46</v>
      </c>
      <c r="L45">
        <v>53</v>
      </c>
      <c r="M45">
        <v>1</v>
      </c>
      <c r="N45">
        <v>3.335</v>
      </c>
      <c r="O45" s="7">
        <v>1</v>
      </c>
      <c r="P45" s="8">
        <f t="shared" si="9"/>
        <v>0.13504707646176911</v>
      </c>
      <c r="Q45" s="8">
        <f t="shared" si="10"/>
        <v>0.29358060100384586</v>
      </c>
      <c r="R45" s="8">
        <f t="shared" si="11"/>
        <v>0.25480580464484737</v>
      </c>
      <c r="S45" s="8">
        <f t="shared" si="12"/>
        <v>13.504707646176911</v>
      </c>
      <c r="T45">
        <v>3647</v>
      </c>
      <c r="U45">
        <v>3650</v>
      </c>
      <c r="V45">
        <f t="shared" si="13"/>
        <v>2</v>
      </c>
      <c r="W45">
        <f t="shared" si="14"/>
        <v>5</v>
      </c>
      <c r="X45" t="s">
        <v>17</v>
      </c>
      <c r="AB45">
        <v>0.5</v>
      </c>
      <c r="AC45">
        <v>0.9</v>
      </c>
      <c r="AD45">
        <v>0.35</v>
      </c>
      <c r="AE45" s="3" t="s">
        <v>135</v>
      </c>
      <c r="AF45">
        <v>1</v>
      </c>
      <c r="AG45">
        <v>1</v>
      </c>
      <c r="AH45">
        <v>0.2</v>
      </c>
      <c r="AI45" s="25"/>
      <c r="AJ45">
        <v>44</v>
      </c>
    </row>
    <row r="46" spans="1:36" x14ac:dyDescent="0.2">
      <c r="A46">
        <f t="shared" si="6"/>
        <v>45</v>
      </c>
      <c r="B46">
        <v>3622</v>
      </c>
      <c r="C46">
        <v>3622</v>
      </c>
      <c r="D46">
        <v>0</v>
      </c>
      <c r="E46" t="s">
        <v>14</v>
      </c>
      <c r="F46" t="s">
        <v>102</v>
      </c>
      <c r="G46" t="s">
        <v>18</v>
      </c>
      <c r="H46">
        <v>3685</v>
      </c>
      <c r="I46">
        <v>45000</v>
      </c>
      <c r="K46">
        <v>31</v>
      </c>
      <c r="L46">
        <v>65</v>
      </c>
      <c r="M46">
        <v>4</v>
      </c>
      <c r="N46">
        <v>3.335</v>
      </c>
      <c r="O46" s="7">
        <v>1</v>
      </c>
      <c r="P46" s="8">
        <f t="shared" si="9"/>
        <v>0.12004184574379478</v>
      </c>
      <c r="Q46" s="8">
        <f t="shared" si="10"/>
        <v>0.38723176046385416</v>
      </c>
      <c r="R46" s="8">
        <f t="shared" si="11"/>
        <v>0.18467976268276118</v>
      </c>
      <c r="S46" s="8">
        <f t="shared" si="12"/>
        <v>3.0010461435948694</v>
      </c>
      <c r="T46">
        <v>3615</v>
      </c>
      <c r="U46">
        <v>3650</v>
      </c>
      <c r="V46">
        <f t="shared" si="13"/>
        <v>-7</v>
      </c>
      <c r="W46">
        <f t="shared" si="14"/>
        <v>28</v>
      </c>
      <c r="X46" t="s">
        <v>19</v>
      </c>
      <c r="AB46">
        <v>0</v>
      </c>
      <c r="AC46">
        <v>0</v>
      </c>
      <c r="AD46">
        <v>0</v>
      </c>
      <c r="AE46" s="3" t="s">
        <v>135</v>
      </c>
      <c r="AF46">
        <v>1</v>
      </c>
      <c r="AG46">
        <v>1</v>
      </c>
      <c r="AH46">
        <v>0.2</v>
      </c>
      <c r="AI46" s="24"/>
      <c r="AJ46">
        <v>45</v>
      </c>
    </row>
    <row r="47" spans="1:36" x14ac:dyDescent="0.2">
      <c r="A47">
        <f t="shared" si="6"/>
        <v>46</v>
      </c>
      <c r="B47">
        <v>3547</v>
      </c>
      <c r="C47">
        <v>3547</v>
      </c>
      <c r="D47">
        <v>0</v>
      </c>
      <c r="E47" t="s">
        <v>14</v>
      </c>
      <c r="F47" t="s">
        <v>102</v>
      </c>
      <c r="G47" t="s">
        <v>20</v>
      </c>
      <c r="H47">
        <v>3590</v>
      </c>
      <c r="I47">
        <v>61000</v>
      </c>
      <c r="K47">
        <v>5</v>
      </c>
      <c r="L47">
        <v>12</v>
      </c>
      <c r="M47">
        <v>83</v>
      </c>
      <c r="N47">
        <v>3.335</v>
      </c>
      <c r="O47" s="7">
        <v>1</v>
      </c>
      <c r="P47" s="8">
        <f t="shared" si="9"/>
        <v>8.855545997493057E-2</v>
      </c>
      <c r="Q47" s="8">
        <f t="shared" si="10"/>
        <v>1.7711091994986115</v>
      </c>
      <c r="R47" s="8">
        <f t="shared" si="11"/>
        <v>0.73796216645775481</v>
      </c>
      <c r="S47" s="8">
        <f t="shared" si="12"/>
        <v>0.1066933252710007</v>
      </c>
      <c r="T47">
        <v>3530</v>
      </c>
      <c r="U47">
        <v>3550</v>
      </c>
      <c r="V47">
        <f t="shared" si="13"/>
        <v>-17</v>
      </c>
      <c r="W47">
        <f t="shared" si="14"/>
        <v>3</v>
      </c>
      <c r="X47" t="s">
        <v>21</v>
      </c>
      <c r="AB47">
        <v>0.5</v>
      </c>
      <c r="AC47">
        <v>0.9</v>
      </c>
      <c r="AD47">
        <v>0.35</v>
      </c>
      <c r="AE47" s="3" t="s">
        <v>135</v>
      </c>
      <c r="AF47">
        <v>1</v>
      </c>
      <c r="AG47">
        <v>1</v>
      </c>
      <c r="AH47">
        <v>0.2</v>
      </c>
      <c r="AI47" s="25"/>
      <c r="AJ47">
        <v>46</v>
      </c>
    </row>
    <row r="48" spans="1:36" x14ac:dyDescent="0.2">
      <c r="A48">
        <f t="shared" si="6"/>
        <v>47</v>
      </c>
      <c r="B48">
        <v>3532</v>
      </c>
      <c r="C48">
        <v>3532</v>
      </c>
      <c r="D48">
        <v>0</v>
      </c>
      <c r="E48" t="s">
        <v>14</v>
      </c>
      <c r="F48" t="s">
        <v>102</v>
      </c>
      <c r="G48" t="s">
        <v>23</v>
      </c>
      <c r="H48">
        <v>3575</v>
      </c>
      <c r="I48">
        <v>65000</v>
      </c>
      <c r="K48">
        <v>5</v>
      </c>
      <c r="L48">
        <v>14</v>
      </c>
      <c r="M48">
        <v>81</v>
      </c>
      <c r="N48">
        <v>3.335</v>
      </c>
      <c r="O48" s="7">
        <v>1</v>
      </c>
      <c r="P48" s="8">
        <f t="shared" si="9"/>
        <v>8.3105893207242529E-2</v>
      </c>
      <c r="Q48" s="8">
        <f t="shared" si="10"/>
        <v>1.6621178641448506</v>
      </c>
      <c r="R48" s="8">
        <f t="shared" si="11"/>
        <v>0.59361352290887515</v>
      </c>
      <c r="S48" s="8">
        <f t="shared" si="12"/>
        <v>0.10259986815708953</v>
      </c>
      <c r="T48">
        <v>3520</v>
      </c>
      <c r="U48">
        <v>3540</v>
      </c>
      <c r="V48">
        <f t="shared" si="13"/>
        <v>-12</v>
      </c>
      <c r="W48">
        <f t="shared" si="14"/>
        <v>8</v>
      </c>
      <c r="X48" t="s">
        <v>21</v>
      </c>
      <c r="AB48">
        <v>0.5</v>
      </c>
      <c r="AC48">
        <v>0.9</v>
      </c>
      <c r="AD48">
        <v>0.35</v>
      </c>
      <c r="AE48" s="3" t="s">
        <v>135</v>
      </c>
      <c r="AF48">
        <v>1</v>
      </c>
      <c r="AG48">
        <v>1</v>
      </c>
      <c r="AH48">
        <v>0.2</v>
      </c>
      <c r="AI48" s="25"/>
      <c r="AJ48">
        <v>47</v>
      </c>
    </row>
    <row r="49" spans="1:36" x14ac:dyDescent="0.2">
      <c r="A49">
        <f t="shared" si="6"/>
        <v>48</v>
      </c>
      <c r="B49">
        <v>3463</v>
      </c>
      <c r="C49">
        <v>3463</v>
      </c>
      <c r="D49">
        <v>0</v>
      </c>
      <c r="E49" t="s">
        <v>14</v>
      </c>
      <c r="F49" t="s">
        <v>102</v>
      </c>
      <c r="G49" t="s">
        <v>29</v>
      </c>
      <c r="H49">
        <v>3506</v>
      </c>
      <c r="I49">
        <v>90000</v>
      </c>
      <c r="K49">
        <v>17</v>
      </c>
      <c r="L49">
        <v>27</v>
      </c>
      <c r="M49">
        <v>56</v>
      </c>
      <c r="N49">
        <v>3.335</v>
      </c>
      <c r="O49" s="7">
        <v>1</v>
      </c>
      <c r="P49" s="8">
        <f t="shared" si="9"/>
        <v>6.0020922871897392E-2</v>
      </c>
      <c r="Q49" s="8">
        <f t="shared" si="10"/>
        <v>0.35306425218763171</v>
      </c>
      <c r="R49" s="8">
        <f t="shared" si="11"/>
        <v>0.22229971434036069</v>
      </c>
      <c r="S49" s="8">
        <f t="shared" si="12"/>
        <v>0.10718021941410248</v>
      </c>
      <c r="T49">
        <v>3438</v>
      </c>
      <c r="U49">
        <v>3465</v>
      </c>
      <c r="V49">
        <f t="shared" si="13"/>
        <v>-25</v>
      </c>
      <c r="W49">
        <f t="shared" si="14"/>
        <v>2</v>
      </c>
      <c r="X49" t="s">
        <v>17</v>
      </c>
      <c r="AB49">
        <v>0.5</v>
      </c>
      <c r="AC49">
        <v>0.9</v>
      </c>
      <c r="AD49">
        <v>0.35</v>
      </c>
      <c r="AE49" s="3" t="s">
        <v>135</v>
      </c>
      <c r="AF49">
        <v>1</v>
      </c>
      <c r="AG49">
        <v>1</v>
      </c>
      <c r="AH49">
        <v>0.2</v>
      </c>
      <c r="AI49" s="25"/>
      <c r="AJ49">
        <v>48</v>
      </c>
    </row>
    <row r="50" spans="1:36" x14ac:dyDescent="0.2">
      <c r="A50">
        <f t="shared" si="6"/>
        <v>49</v>
      </c>
      <c r="B50">
        <v>3432</v>
      </c>
      <c r="C50">
        <v>3432</v>
      </c>
      <c r="D50">
        <v>0</v>
      </c>
      <c r="E50" t="s">
        <v>14</v>
      </c>
      <c r="F50" t="s">
        <v>102</v>
      </c>
      <c r="G50" t="s">
        <v>83</v>
      </c>
      <c r="H50">
        <v>3481</v>
      </c>
      <c r="I50">
        <v>125000</v>
      </c>
      <c r="K50">
        <v>42</v>
      </c>
      <c r="L50">
        <v>29</v>
      </c>
      <c r="M50">
        <v>29</v>
      </c>
      <c r="N50">
        <v>3.335</v>
      </c>
      <c r="O50" s="7">
        <v>1</v>
      </c>
      <c r="P50" s="8">
        <f t="shared" si="9"/>
        <v>4.3215064467766122E-2</v>
      </c>
      <c r="Q50" s="8">
        <f t="shared" si="10"/>
        <v>0.10289301063753839</v>
      </c>
      <c r="R50" s="8">
        <f t="shared" si="11"/>
        <v>0.14901746368195215</v>
      </c>
      <c r="S50" s="8">
        <f t="shared" si="12"/>
        <v>0.14901746368195215</v>
      </c>
      <c r="T50">
        <v>3413</v>
      </c>
      <c r="U50">
        <v>3450</v>
      </c>
      <c r="V50">
        <f t="shared" si="13"/>
        <v>-19</v>
      </c>
      <c r="W50">
        <f t="shared" si="14"/>
        <v>18</v>
      </c>
      <c r="X50" t="s">
        <v>32</v>
      </c>
      <c r="AB50">
        <v>0</v>
      </c>
      <c r="AC50">
        <v>0</v>
      </c>
      <c r="AD50">
        <v>0</v>
      </c>
      <c r="AE50" s="3" t="s">
        <v>135</v>
      </c>
      <c r="AF50">
        <v>1</v>
      </c>
      <c r="AG50">
        <v>1</v>
      </c>
      <c r="AH50">
        <v>0.2</v>
      </c>
      <c r="AI50" s="24"/>
      <c r="AJ50">
        <v>49</v>
      </c>
    </row>
    <row r="51" spans="1:36" x14ac:dyDescent="0.2">
      <c r="A51">
        <f t="shared" si="6"/>
        <v>50</v>
      </c>
      <c r="B51">
        <v>3570</v>
      </c>
      <c r="C51">
        <v>3570</v>
      </c>
      <c r="D51">
        <v>0</v>
      </c>
      <c r="E51" t="s">
        <v>42</v>
      </c>
      <c r="F51" t="s">
        <v>54</v>
      </c>
      <c r="G51" t="s">
        <v>47</v>
      </c>
      <c r="H51">
        <v>3570</v>
      </c>
      <c r="J51">
        <v>61</v>
      </c>
      <c r="K51">
        <v>100</v>
      </c>
      <c r="L51">
        <v>100</v>
      </c>
      <c r="M51">
        <v>100</v>
      </c>
      <c r="O51" s="7">
        <v>1</v>
      </c>
      <c r="P51" s="8" t="e">
        <f t="shared" si="9"/>
        <v>#DIV/0!</v>
      </c>
      <c r="Q51" s="8" t="e">
        <f t="shared" si="10"/>
        <v>#DIV/0!</v>
      </c>
      <c r="R51" s="8" t="e">
        <f t="shared" si="11"/>
        <v>#DIV/0!</v>
      </c>
      <c r="S51" s="8" t="e">
        <f t="shared" si="12"/>
        <v>#DIV/0!</v>
      </c>
      <c r="V51">
        <f t="shared" si="13"/>
        <v>0</v>
      </c>
      <c r="W51">
        <f t="shared" si="14"/>
        <v>0</v>
      </c>
      <c r="Y51" t="s">
        <v>55</v>
      </c>
      <c r="AB51">
        <v>0</v>
      </c>
      <c r="AC51">
        <v>0</v>
      </c>
      <c r="AD51">
        <v>0</v>
      </c>
      <c r="AE51" s="3" t="s">
        <v>135</v>
      </c>
      <c r="AF51">
        <v>1</v>
      </c>
      <c r="AG51">
        <v>1</v>
      </c>
      <c r="AH51">
        <v>0.2</v>
      </c>
      <c r="AI51" s="24"/>
      <c r="AJ51">
        <v>50</v>
      </c>
    </row>
    <row r="52" spans="1:36" x14ac:dyDescent="0.2">
      <c r="A52">
        <f t="shared" si="6"/>
        <v>51</v>
      </c>
      <c r="B52">
        <v>5200</v>
      </c>
      <c r="C52">
        <v>5200</v>
      </c>
      <c r="D52">
        <v>0</v>
      </c>
      <c r="E52" t="s">
        <v>42</v>
      </c>
      <c r="F52" t="s">
        <v>43</v>
      </c>
      <c r="G52" t="s">
        <v>39</v>
      </c>
      <c r="H52">
        <v>5200</v>
      </c>
      <c r="J52">
        <v>1.07</v>
      </c>
      <c r="K52">
        <v>100</v>
      </c>
      <c r="L52">
        <v>100</v>
      </c>
      <c r="M52">
        <v>100</v>
      </c>
      <c r="O52" s="7">
        <v>1</v>
      </c>
      <c r="P52" s="8" t="e">
        <f t="shared" si="9"/>
        <v>#DIV/0!</v>
      </c>
      <c r="Q52" s="8" t="e">
        <f t="shared" si="10"/>
        <v>#DIV/0!</v>
      </c>
      <c r="R52" s="8" t="e">
        <f t="shared" si="11"/>
        <v>#DIV/0!</v>
      </c>
      <c r="S52" s="8" t="e">
        <f t="shared" si="12"/>
        <v>#DIV/0!</v>
      </c>
      <c r="T52">
        <v>0</v>
      </c>
      <c r="U52">
        <v>0</v>
      </c>
      <c r="V52">
        <f t="shared" si="13"/>
        <v>0</v>
      </c>
      <c r="W52">
        <f t="shared" si="14"/>
        <v>0</v>
      </c>
      <c r="Y52" t="s">
        <v>44</v>
      </c>
      <c r="AB52">
        <v>0</v>
      </c>
      <c r="AC52">
        <v>0</v>
      </c>
      <c r="AD52">
        <v>0</v>
      </c>
      <c r="AE52" s="3" t="s">
        <v>135</v>
      </c>
      <c r="AF52">
        <v>1</v>
      </c>
      <c r="AG52">
        <v>1</v>
      </c>
      <c r="AH52">
        <v>0.2</v>
      </c>
      <c r="AI52" s="24"/>
      <c r="AJ52">
        <v>51</v>
      </c>
    </row>
    <row r="53" spans="1:36" x14ac:dyDescent="0.2">
      <c r="A53">
        <f t="shared" si="6"/>
        <v>52</v>
      </c>
      <c r="B53">
        <v>4500</v>
      </c>
      <c r="C53">
        <v>4500</v>
      </c>
      <c r="D53">
        <v>0</v>
      </c>
      <c r="E53" t="s">
        <v>42</v>
      </c>
      <c r="F53" t="s">
        <v>43</v>
      </c>
      <c r="G53" t="s">
        <v>37</v>
      </c>
      <c r="H53">
        <v>4500</v>
      </c>
      <c r="J53">
        <v>0.79</v>
      </c>
      <c r="K53">
        <v>100</v>
      </c>
      <c r="L53">
        <v>100</v>
      </c>
      <c r="M53">
        <v>100</v>
      </c>
      <c r="O53" s="7">
        <v>1</v>
      </c>
      <c r="P53" s="8" t="e">
        <f t="shared" si="9"/>
        <v>#DIV/0!</v>
      </c>
      <c r="Q53" s="8" t="e">
        <f t="shared" si="10"/>
        <v>#DIV/0!</v>
      </c>
      <c r="R53" s="8" t="e">
        <f t="shared" si="11"/>
        <v>#DIV/0!</v>
      </c>
      <c r="S53" s="8" t="e">
        <f t="shared" si="12"/>
        <v>#DIV/0!</v>
      </c>
      <c r="T53">
        <v>0</v>
      </c>
      <c r="U53">
        <v>0</v>
      </c>
      <c r="V53">
        <f t="shared" si="13"/>
        <v>0</v>
      </c>
      <c r="W53">
        <f t="shared" si="14"/>
        <v>0</v>
      </c>
      <c r="Y53" t="s">
        <v>45</v>
      </c>
      <c r="AB53">
        <v>0</v>
      </c>
      <c r="AC53">
        <v>0</v>
      </c>
      <c r="AD53">
        <v>0</v>
      </c>
      <c r="AE53" s="3" t="s">
        <v>135</v>
      </c>
      <c r="AF53">
        <v>1</v>
      </c>
      <c r="AG53">
        <v>1</v>
      </c>
      <c r="AH53">
        <v>0.2</v>
      </c>
      <c r="AI53" s="24"/>
      <c r="AJ53">
        <v>52</v>
      </c>
    </row>
    <row r="54" spans="1:36" x14ac:dyDescent="0.2">
      <c r="A54">
        <f t="shared" si="6"/>
        <v>53</v>
      </c>
      <c r="B54">
        <v>3570</v>
      </c>
      <c r="C54">
        <v>3570</v>
      </c>
      <c r="D54">
        <v>0</v>
      </c>
      <c r="E54" t="s">
        <v>42</v>
      </c>
      <c r="F54" t="s">
        <v>43</v>
      </c>
      <c r="G54" t="s">
        <v>47</v>
      </c>
      <c r="H54">
        <v>3570</v>
      </c>
      <c r="J54">
        <v>62.32</v>
      </c>
      <c r="K54">
        <v>100</v>
      </c>
      <c r="L54">
        <v>100</v>
      </c>
      <c r="M54">
        <v>100</v>
      </c>
      <c r="O54" s="7">
        <v>1</v>
      </c>
      <c r="P54" s="8" t="e">
        <f t="shared" si="9"/>
        <v>#DIV/0!</v>
      </c>
      <c r="Q54" s="8" t="e">
        <f t="shared" si="10"/>
        <v>#DIV/0!</v>
      </c>
      <c r="R54" s="8" t="e">
        <f t="shared" si="11"/>
        <v>#DIV/0!</v>
      </c>
      <c r="S54" s="8" t="e">
        <f t="shared" si="12"/>
        <v>#DIV/0!</v>
      </c>
      <c r="T54">
        <v>0</v>
      </c>
      <c r="U54">
        <v>0</v>
      </c>
      <c r="V54">
        <f t="shared" si="13"/>
        <v>0</v>
      </c>
      <c r="W54">
        <f t="shared" si="14"/>
        <v>0</v>
      </c>
      <c r="Y54" t="s">
        <v>48</v>
      </c>
      <c r="AB54">
        <v>0</v>
      </c>
      <c r="AC54">
        <v>0</v>
      </c>
      <c r="AD54">
        <v>0</v>
      </c>
      <c r="AE54" s="3" t="s">
        <v>135</v>
      </c>
      <c r="AF54">
        <v>1</v>
      </c>
      <c r="AG54">
        <v>1</v>
      </c>
      <c r="AH54">
        <v>0.2</v>
      </c>
      <c r="AI54" s="24"/>
      <c r="AJ54">
        <v>53</v>
      </c>
    </row>
    <row r="55" spans="1:36" x14ac:dyDescent="0.2">
      <c r="A55">
        <f t="shared" si="6"/>
        <v>54</v>
      </c>
      <c r="B55">
        <v>1630</v>
      </c>
      <c r="C55">
        <v>1630</v>
      </c>
      <c r="D55">
        <v>0</v>
      </c>
      <c r="E55" t="s">
        <v>42</v>
      </c>
      <c r="F55" t="s">
        <v>43</v>
      </c>
      <c r="G55" t="s">
        <v>39</v>
      </c>
      <c r="H55">
        <v>1630</v>
      </c>
      <c r="J55">
        <v>42.34</v>
      </c>
      <c r="K55">
        <v>100</v>
      </c>
      <c r="L55">
        <v>100</v>
      </c>
      <c r="M55">
        <v>100</v>
      </c>
      <c r="O55" s="7">
        <v>1</v>
      </c>
      <c r="P55" s="8" t="e">
        <f t="shared" si="9"/>
        <v>#DIV/0!</v>
      </c>
      <c r="Q55" s="8" t="e">
        <f t="shared" si="10"/>
        <v>#DIV/0!</v>
      </c>
      <c r="R55" s="8" t="e">
        <f t="shared" si="11"/>
        <v>#DIV/0!</v>
      </c>
      <c r="S55" s="8" t="e">
        <f t="shared" si="12"/>
        <v>#DIV/0!</v>
      </c>
      <c r="T55">
        <v>0</v>
      </c>
      <c r="U55">
        <v>0</v>
      </c>
      <c r="V55">
        <f t="shared" si="13"/>
        <v>0</v>
      </c>
      <c r="W55">
        <f t="shared" si="14"/>
        <v>0</v>
      </c>
      <c r="Y55" t="s">
        <v>46</v>
      </c>
      <c r="AB55">
        <v>0</v>
      </c>
      <c r="AC55">
        <v>0</v>
      </c>
      <c r="AD55">
        <v>0</v>
      </c>
      <c r="AE55" s="3" t="s">
        <v>135</v>
      </c>
      <c r="AF55">
        <v>1</v>
      </c>
      <c r="AG55">
        <v>1</v>
      </c>
      <c r="AH55">
        <v>0.2</v>
      </c>
      <c r="AI55" s="24"/>
      <c r="AJ55">
        <v>54</v>
      </c>
    </row>
    <row r="56" spans="1:36" x14ac:dyDescent="0.2">
      <c r="A56">
        <f t="shared" si="6"/>
        <v>55</v>
      </c>
      <c r="B56">
        <v>5200</v>
      </c>
      <c r="C56">
        <v>5200</v>
      </c>
      <c r="D56">
        <v>0</v>
      </c>
      <c r="E56" t="s">
        <v>42</v>
      </c>
      <c r="F56" t="s">
        <v>49</v>
      </c>
      <c r="G56" t="s">
        <v>39</v>
      </c>
      <c r="H56">
        <v>5200</v>
      </c>
      <c r="J56">
        <v>1.46</v>
      </c>
      <c r="K56">
        <v>100</v>
      </c>
      <c r="L56">
        <v>100</v>
      </c>
      <c r="M56">
        <v>100</v>
      </c>
      <c r="O56" s="7">
        <v>1</v>
      </c>
      <c r="P56" s="8" t="e">
        <f t="shared" si="9"/>
        <v>#DIV/0!</v>
      </c>
      <c r="Q56" s="8" t="e">
        <f t="shared" si="10"/>
        <v>#DIV/0!</v>
      </c>
      <c r="R56" s="8" t="e">
        <f t="shared" si="11"/>
        <v>#DIV/0!</v>
      </c>
      <c r="S56" s="8" t="e">
        <f t="shared" si="12"/>
        <v>#DIV/0!</v>
      </c>
      <c r="T56">
        <v>0</v>
      </c>
      <c r="U56">
        <v>0</v>
      </c>
      <c r="V56">
        <f t="shared" si="13"/>
        <v>0</v>
      </c>
      <c r="W56">
        <f t="shared" si="14"/>
        <v>0</v>
      </c>
      <c r="Y56" t="s">
        <v>50</v>
      </c>
      <c r="AB56">
        <v>0</v>
      </c>
      <c r="AC56">
        <v>0</v>
      </c>
      <c r="AD56">
        <v>0</v>
      </c>
      <c r="AE56" s="3" t="s">
        <v>135</v>
      </c>
      <c r="AF56">
        <v>1</v>
      </c>
      <c r="AG56">
        <v>1</v>
      </c>
      <c r="AH56">
        <v>0.2</v>
      </c>
      <c r="AI56" s="24"/>
      <c r="AJ56">
        <v>55</v>
      </c>
    </row>
    <row r="57" spans="1:36" x14ac:dyDescent="0.2">
      <c r="A57">
        <f t="shared" si="6"/>
        <v>56</v>
      </c>
      <c r="B57">
        <v>4500</v>
      </c>
      <c r="C57">
        <v>4500</v>
      </c>
      <c r="D57">
        <v>0</v>
      </c>
      <c r="E57" t="s">
        <v>42</v>
      </c>
      <c r="F57" t="s">
        <v>49</v>
      </c>
      <c r="G57" t="s">
        <v>37</v>
      </c>
      <c r="H57">
        <v>4500</v>
      </c>
      <c r="J57">
        <v>0.89</v>
      </c>
      <c r="K57">
        <v>100</v>
      </c>
      <c r="L57">
        <v>100</v>
      </c>
      <c r="M57">
        <v>100</v>
      </c>
      <c r="O57" s="7">
        <v>1</v>
      </c>
      <c r="P57" s="8" t="e">
        <f t="shared" si="9"/>
        <v>#DIV/0!</v>
      </c>
      <c r="Q57" s="8" t="e">
        <f t="shared" si="10"/>
        <v>#DIV/0!</v>
      </c>
      <c r="R57" s="8" t="e">
        <f t="shared" si="11"/>
        <v>#DIV/0!</v>
      </c>
      <c r="S57" s="8" t="e">
        <f t="shared" si="12"/>
        <v>#DIV/0!</v>
      </c>
      <c r="T57">
        <v>0</v>
      </c>
      <c r="U57">
        <v>0</v>
      </c>
      <c r="V57">
        <f t="shared" si="13"/>
        <v>0</v>
      </c>
      <c r="W57">
        <f t="shared" si="14"/>
        <v>0</v>
      </c>
      <c r="Y57" t="s">
        <v>51</v>
      </c>
      <c r="AB57">
        <v>0</v>
      </c>
      <c r="AC57">
        <v>0</v>
      </c>
      <c r="AD57">
        <v>0</v>
      </c>
      <c r="AE57" s="3" t="s">
        <v>135</v>
      </c>
      <c r="AF57">
        <v>1</v>
      </c>
      <c r="AG57">
        <v>1</v>
      </c>
      <c r="AH57">
        <v>0.2</v>
      </c>
      <c r="AI57" s="24"/>
      <c r="AJ57">
        <v>56</v>
      </c>
    </row>
    <row r="58" spans="1:36" x14ac:dyDescent="0.2">
      <c r="A58">
        <f t="shared" si="6"/>
        <v>57</v>
      </c>
      <c r="B58">
        <v>3570</v>
      </c>
      <c r="C58">
        <v>3570</v>
      </c>
      <c r="D58">
        <v>0</v>
      </c>
      <c r="E58" t="s">
        <v>42</v>
      </c>
      <c r="F58" t="s">
        <v>49</v>
      </c>
      <c r="G58" t="s">
        <v>47</v>
      </c>
      <c r="H58">
        <v>3570</v>
      </c>
      <c r="J58">
        <v>69.209999999999994</v>
      </c>
      <c r="K58">
        <v>100</v>
      </c>
      <c r="L58">
        <v>100</v>
      </c>
      <c r="M58">
        <v>100</v>
      </c>
      <c r="O58" s="7">
        <v>1</v>
      </c>
      <c r="P58" s="8" t="e">
        <f t="shared" si="9"/>
        <v>#DIV/0!</v>
      </c>
      <c r="Q58" s="8" t="e">
        <f t="shared" si="10"/>
        <v>#DIV/0!</v>
      </c>
      <c r="R58" s="8" t="e">
        <f t="shared" si="11"/>
        <v>#DIV/0!</v>
      </c>
      <c r="S58" s="8" t="e">
        <f t="shared" si="12"/>
        <v>#DIV/0!</v>
      </c>
      <c r="T58">
        <v>0</v>
      </c>
      <c r="U58">
        <v>0</v>
      </c>
      <c r="V58">
        <f t="shared" si="13"/>
        <v>0</v>
      </c>
      <c r="W58">
        <f t="shared" si="14"/>
        <v>0</v>
      </c>
      <c r="Y58" t="s">
        <v>53</v>
      </c>
      <c r="AB58">
        <v>0</v>
      </c>
      <c r="AC58">
        <v>0</v>
      </c>
      <c r="AD58">
        <v>0</v>
      </c>
      <c r="AE58" s="3" t="s">
        <v>135</v>
      </c>
      <c r="AF58">
        <v>1</v>
      </c>
      <c r="AG58">
        <v>1</v>
      </c>
      <c r="AH58">
        <v>0.2</v>
      </c>
      <c r="AI58" s="24"/>
      <c r="AJ58">
        <v>57</v>
      </c>
    </row>
    <row r="59" spans="1:36" x14ac:dyDescent="0.2">
      <c r="A59">
        <f t="shared" si="6"/>
        <v>58</v>
      </c>
      <c r="B59">
        <v>1630</v>
      </c>
      <c r="C59">
        <v>1630</v>
      </c>
      <c r="D59">
        <v>0</v>
      </c>
      <c r="E59" t="s">
        <v>42</v>
      </c>
      <c r="F59" t="s">
        <v>49</v>
      </c>
      <c r="G59" t="s">
        <v>39</v>
      </c>
      <c r="H59">
        <v>1630</v>
      </c>
      <c r="J59">
        <v>52.05</v>
      </c>
      <c r="K59">
        <v>100</v>
      </c>
      <c r="L59">
        <v>100</v>
      </c>
      <c r="M59">
        <v>100</v>
      </c>
      <c r="O59" s="7">
        <v>1</v>
      </c>
      <c r="P59" s="8" t="e">
        <f t="shared" si="9"/>
        <v>#DIV/0!</v>
      </c>
      <c r="Q59" s="8" t="e">
        <f t="shared" si="10"/>
        <v>#DIV/0!</v>
      </c>
      <c r="R59" s="8" t="e">
        <f t="shared" si="11"/>
        <v>#DIV/0!</v>
      </c>
      <c r="S59" s="8" t="e">
        <f t="shared" si="12"/>
        <v>#DIV/0!</v>
      </c>
      <c r="T59">
        <v>0</v>
      </c>
      <c r="U59">
        <v>0</v>
      </c>
      <c r="V59">
        <f t="shared" si="13"/>
        <v>0</v>
      </c>
      <c r="W59">
        <f t="shared" si="14"/>
        <v>0</v>
      </c>
      <c r="Y59" t="s">
        <v>52</v>
      </c>
      <c r="AB59">
        <v>0</v>
      </c>
      <c r="AC59">
        <v>0</v>
      </c>
      <c r="AD59">
        <v>0</v>
      </c>
      <c r="AE59" s="3" t="s">
        <v>135</v>
      </c>
      <c r="AF59">
        <v>1</v>
      </c>
      <c r="AG59">
        <v>1</v>
      </c>
      <c r="AH59">
        <v>0.2</v>
      </c>
      <c r="AI59" s="24"/>
      <c r="AJ59">
        <v>58</v>
      </c>
    </row>
    <row r="60" spans="1:36" x14ac:dyDescent="0.2">
      <c r="A60">
        <f t="shared" si="6"/>
        <v>59</v>
      </c>
      <c r="B60">
        <v>5200</v>
      </c>
      <c r="C60">
        <v>5200</v>
      </c>
      <c r="D60">
        <v>0</v>
      </c>
      <c r="E60" t="s">
        <v>42</v>
      </c>
      <c r="F60" t="s">
        <v>62</v>
      </c>
      <c r="G60" t="s">
        <v>39</v>
      </c>
      <c r="H60">
        <v>5200</v>
      </c>
      <c r="J60">
        <v>1.6</v>
      </c>
      <c r="K60">
        <v>100</v>
      </c>
      <c r="L60">
        <v>100</v>
      </c>
      <c r="M60">
        <v>100</v>
      </c>
      <c r="O60" s="7">
        <v>1</v>
      </c>
      <c r="P60" s="8" t="e">
        <f t="shared" si="9"/>
        <v>#DIV/0!</v>
      </c>
      <c r="Q60" s="8" t="e">
        <f t="shared" si="10"/>
        <v>#DIV/0!</v>
      </c>
      <c r="R60" s="8" t="e">
        <f t="shared" si="11"/>
        <v>#DIV/0!</v>
      </c>
      <c r="S60" s="8" t="e">
        <f t="shared" si="12"/>
        <v>#DIV/0!</v>
      </c>
      <c r="T60">
        <v>0</v>
      </c>
      <c r="U60">
        <v>0</v>
      </c>
      <c r="V60">
        <f t="shared" si="13"/>
        <v>0</v>
      </c>
      <c r="W60">
        <f t="shared" si="14"/>
        <v>0</v>
      </c>
      <c r="AB60">
        <v>0</v>
      </c>
      <c r="AC60">
        <v>0</v>
      </c>
      <c r="AD60">
        <v>0</v>
      </c>
      <c r="AE60" s="3" t="s">
        <v>135</v>
      </c>
      <c r="AF60">
        <v>1</v>
      </c>
      <c r="AG60">
        <v>1</v>
      </c>
      <c r="AH60">
        <v>0.2</v>
      </c>
      <c r="AI60" s="24"/>
      <c r="AJ60">
        <v>59</v>
      </c>
    </row>
    <row r="61" spans="1:36" x14ac:dyDescent="0.2">
      <c r="A61">
        <f t="shared" si="6"/>
        <v>60</v>
      </c>
      <c r="B61">
        <v>4500</v>
      </c>
      <c r="C61">
        <v>4500</v>
      </c>
      <c r="D61">
        <v>0</v>
      </c>
      <c r="E61" t="s">
        <v>42</v>
      </c>
      <c r="F61" t="s">
        <v>62</v>
      </c>
      <c r="G61" t="s">
        <v>37</v>
      </c>
      <c r="H61">
        <v>4500</v>
      </c>
      <c r="J61">
        <v>0.94</v>
      </c>
      <c r="K61">
        <v>100</v>
      </c>
      <c r="L61">
        <v>100</v>
      </c>
      <c r="M61">
        <v>100</v>
      </c>
      <c r="O61" s="7">
        <v>1</v>
      </c>
      <c r="P61" s="8" t="e">
        <f t="shared" si="9"/>
        <v>#DIV/0!</v>
      </c>
      <c r="Q61" s="8" t="e">
        <f t="shared" si="10"/>
        <v>#DIV/0!</v>
      </c>
      <c r="R61" s="8" t="e">
        <f t="shared" si="11"/>
        <v>#DIV/0!</v>
      </c>
      <c r="S61" s="8" t="e">
        <f t="shared" si="12"/>
        <v>#DIV/0!</v>
      </c>
      <c r="T61">
        <v>0</v>
      </c>
      <c r="U61">
        <v>0</v>
      </c>
      <c r="V61">
        <f t="shared" si="13"/>
        <v>0</v>
      </c>
      <c r="W61">
        <f t="shared" si="14"/>
        <v>0</v>
      </c>
      <c r="AB61">
        <v>0</v>
      </c>
      <c r="AC61">
        <v>0</v>
      </c>
      <c r="AD61">
        <v>0</v>
      </c>
      <c r="AE61" s="3" t="s">
        <v>135</v>
      </c>
      <c r="AF61">
        <v>1</v>
      </c>
      <c r="AG61">
        <v>1</v>
      </c>
      <c r="AH61">
        <v>0.2</v>
      </c>
      <c r="AI61" s="24"/>
      <c r="AJ61">
        <v>60</v>
      </c>
    </row>
    <row r="62" spans="1:36" x14ac:dyDescent="0.2">
      <c r="A62">
        <f t="shared" si="6"/>
        <v>61</v>
      </c>
      <c r="B62">
        <v>3570</v>
      </c>
      <c r="C62">
        <v>3570</v>
      </c>
      <c r="D62">
        <v>0</v>
      </c>
      <c r="E62" t="s">
        <v>42</v>
      </c>
      <c r="F62" t="s">
        <v>62</v>
      </c>
      <c r="G62" t="s">
        <v>47</v>
      </c>
      <c r="H62">
        <v>3570</v>
      </c>
      <c r="J62">
        <v>68</v>
      </c>
      <c r="K62">
        <v>100</v>
      </c>
      <c r="L62">
        <v>100</v>
      </c>
      <c r="M62">
        <v>100</v>
      </c>
      <c r="O62" s="7">
        <v>1</v>
      </c>
      <c r="P62" s="8" t="e">
        <f t="shared" si="9"/>
        <v>#DIV/0!</v>
      </c>
      <c r="Q62" s="8" t="e">
        <f t="shared" si="10"/>
        <v>#DIV/0!</v>
      </c>
      <c r="R62" s="8" t="e">
        <f t="shared" si="11"/>
        <v>#DIV/0!</v>
      </c>
      <c r="S62" s="8" t="e">
        <f t="shared" si="12"/>
        <v>#DIV/0!</v>
      </c>
      <c r="T62">
        <v>0</v>
      </c>
      <c r="U62">
        <v>0</v>
      </c>
      <c r="V62">
        <f t="shared" si="13"/>
        <v>0</v>
      </c>
      <c r="W62">
        <f t="shared" si="14"/>
        <v>0</v>
      </c>
      <c r="Y62" t="s">
        <v>63</v>
      </c>
      <c r="AB62">
        <v>0</v>
      </c>
      <c r="AC62">
        <v>0</v>
      </c>
      <c r="AD62">
        <v>0</v>
      </c>
      <c r="AE62" s="3" t="s">
        <v>135</v>
      </c>
      <c r="AF62">
        <v>1</v>
      </c>
      <c r="AG62">
        <v>1</v>
      </c>
      <c r="AH62">
        <v>0.2</v>
      </c>
      <c r="AI62" s="24"/>
      <c r="AJ62">
        <v>61</v>
      </c>
    </row>
    <row r="63" spans="1:36" x14ac:dyDescent="0.2">
      <c r="A63">
        <f t="shared" si="6"/>
        <v>62</v>
      </c>
      <c r="B63">
        <v>5200</v>
      </c>
      <c r="C63">
        <v>5200</v>
      </c>
      <c r="D63">
        <v>0</v>
      </c>
      <c r="E63" t="s">
        <v>42</v>
      </c>
      <c r="F63" t="s">
        <v>60</v>
      </c>
      <c r="G63" t="s">
        <v>39</v>
      </c>
      <c r="H63">
        <v>5200</v>
      </c>
      <c r="J63">
        <v>1.08</v>
      </c>
      <c r="K63">
        <v>100</v>
      </c>
      <c r="L63">
        <v>100</v>
      </c>
      <c r="M63">
        <v>100</v>
      </c>
      <c r="O63" s="7">
        <v>1</v>
      </c>
      <c r="P63" s="8" t="e">
        <f t="shared" si="9"/>
        <v>#DIV/0!</v>
      </c>
      <c r="Q63" s="8" t="e">
        <f t="shared" si="10"/>
        <v>#DIV/0!</v>
      </c>
      <c r="R63" s="8" t="e">
        <f t="shared" si="11"/>
        <v>#DIV/0!</v>
      </c>
      <c r="S63" s="8" t="e">
        <f t="shared" si="12"/>
        <v>#DIV/0!</v>
      </c>
      <c r="T63">
        <v>0</v>
      </c>
      <c r="U63">
        <v>0</v>
      </c>
      <c r="V63">
        <f t="shared" si="13"/>
        <v>0</v>
      </c>
      <c r="W63">
        <f t="shared" si="14"/>
        <v>0</v>
      </c>
      <c r="Y63" t="s">
        <v>61</v>
      </c>
      <c r="AB63">
        <v>0</v>
      </c>
      <c r="AC63">
        <v>0</v>
      </c>
      <c r="AD63">
        <v>0</v>
      </c>
      <c r="AE63" s="3" t="s">
        <v>135</v>
      </c>
      <c r="AF63">
        <v>1</v>
      </c>
      <c r="AG63">
        <v>1</v>
      </c>
      <c r="AH63">
        <v>0.2</v>
      </c>
      <c r="AI63" s="24"/>
      <c r="AJ63">
        <v>62</v>
      </c>
    </row>
    <row r="64" spans="1:36" x14ac:dyDescent="0.2">
      <c r="A64">
        <f t="shared" si="6"/>
        <v>63</v>
      </c>
      <c r="B64">
        <v>1630</v>
      </c>
      <c r="C64">
        <v>1630</v>
      </c>
      <c r="D64">
        <v>0</v>
      </c>
      <c r="E64" t="s">
        <v>42</v>
      </c>
      <c r="F64" t="s">
        <v>60</v>
      </c>
      <c r="G64" t="s">
        <v>39</v>
      </c>
      <c r="H64">
        <v>1630</v>
      </c>
      <c r="J64">
        <v>40.83</v>
      </c>
      <c r="K64">
        <v>100</v>
      </c>
      <c r="L64">
        <v>100</v>
      </c>
      <c r="M64">
        <v>100</v>
      </c>
      <c r="O64" s="7">
        <v>1</v>
      </c>
      <c r="P64" s="8" t="e">
        <f t="shared" si="9"/>
        <v>#DIV/0!</v>
      </c>
      <c r="Q64" s="8" t="e">
        <f t="shared" si="10"/>
        <v>#DIV/0!</v>
      </c>
      <c r="R64" s="8" t="e">
        <f t="shared" si="11"/>
        <v>#DIV/0!</v>
      </c>
      <c r="S64" s="8" t="e">
        <f t="shared" si="12"/>
        <v>#DIV/0!</v>
      </c>
      <c r="T64">
        <v>0</v>
      </c>
      <c r="U64">
        <v>0</v>
      </c>
      <c r="V64">
        <f t="shared" si="13"/>
        <v>0</v>
      </c>
      <c r="W64">
        <f t="shared" si="14"/>
        <v>0</v>
      </c>
      <c r="Y64" t="s">
        <v>61</v>
      </c>
      <c r="AB64">
        <v>0</v>
      </c>
      <c r="AC64">
        <v>0</v>
      </c>
      <c r="AD64">
        <v>0</v>
      </c>
      <c r="AE64" s="3" t="s">
        <v>135</v>
      </c>
      <c r="AF64">
        <v>1</v>
      </c>
      <c r="AG64">
        <v>1</v>
      </c>
      <c r="AH64">
        <v>0.2</v>
      </c>
      <c r="AI64" s="24"/>
      <c r="AJ64">
        <v>63</v>
      </c>
    </row>
    <row r="65" spans="1:36" x14ac:dyDescent="0.2">
      <c r="A65">
        <f t="shared" si="6"/>
        <v>64</v>
      </c>
      <c r="B65">
        <v>5200</v>
      </c>
      <c r="C65">
        <v>5200</v>
      </c>
      <c r="D65">
        <v>0</v>
      </c>
      <c r="E65" t="s">
        <v>42</v>
      </c>
      <c r="F65" t="s">
        <v>56</v>
      </c>
      <c r="G65" t="s">
        <v>39</v>
      </c>
      <c r="H65">
        <v>5200</v>
      </c>
      <c r="J65">
        <v>1.25</v>
      </c>
      <c r="K65">
        <v>100</v>
      </c>
      <c r="L65">
        <v>100</v>
      </c>
      <c r="M65">
        <v>100</v>
      </c>
      <c r="O65" s="7">
        <v>1</v>
      </c>
      <c r="P65" s="8" t="e">
        <f t="shared" si="9"/>
        <v>#DIV/0!</v>
      </c>
      <c r="Q65" s="8" t="e">
        <f t="shared" si="10"/>
        <v>#DIV/0!</v>
      </c>
      <c r="R65" s="8" t="e">
        <f t="shared" si="11"/>
        <v>#DIV/0!</v>
      </c>
      <c r="S65" s="8" t="e">
        <f t="shared" si="12"/>
        <v>#DIV/0!</v>
      </c>
      <c r="T65">
        <v>0</v>
      </c>
      <c r="U65">
        <v>0</v>
      </c>
      <c r="V65">
        <f t="shared" si="13"/>
        <v>0</v>
      </c>
      <c r="W65">
        <f t="shared" si="14"/>
        <v>0</v>
      </c>
      <c r="Y65" t="s">
        <v>57</v>
      </c>
      <c r="AB65">
        <v>0</v>
      </c>
      <c r="AC65">
        <v>0</v>
      </c>
      <c r="AD65">
        <v>0</v>
      </c>
      <c r="AE65" s="3" t="s">
        <v>135</v>
      </c>
      <c r="AF65">
        <v>1</v>
      </c>
      <c r="AG65">
        <v>1</v>
      </c>
      <c r="AH65">
        <v>0.2</v>
      </c>
      <c r="AI65" s="24"/>
      <c r="AJ65">
        <v>64</v>
      </c>
    </row>
    <row r="66" spans="1:36" x14ac:dyDescent="0.2">
      <c r="A66">
        <f t="shared" si="6"/>
        <v>65</v>
      </c>
      <c r="B66">
        <v>4500</v>
      </c>
      <c r="C66">
        <v>4500</v>
      </c>
      <c r="D66">
        <v>0</v>
      </c>
      <c r="E66" t="s">
        <v>42</v>
      </c>
      <c r="F66" t="s">
        <v>56</v>
      </c>
      <c r="G66" t="s">
        <v>37</v>
      </c>
      <c r="H66">
        <v>4500</v>
      </c>
      <c r="J66">
        <v>0.95</v>
      </c>
      <c r="K66">
        <v>100</v>
      </c>
      <c r="L66">
        <v>100</v>
      </c>
      <c r="M66">
        <v>100</v>
      </c>
      <c r="O66" s="7">
        <v>1</v>
      </c>
      <c r="P66" s="8" t="e">
        <f t="shared" si="9"/>
        <v>#DIV/0!</v>
      </c>
      <c r="Q66" s="8" t="e">
        <f t="shared" si="10"/>
        <v>#DIV/0!</v>
      </c>
      <c r="R66" s="8" t="e">
        <f t="shared" si="11"/>
        <v>#DIV/0!</v>
      </c>
      <c r="S66" s="8" t="e">
        <f t="shared" si="12"/>
        <v>#DIV/0!</v>
      </c>
      <c r="T66">
        <v>0</v>
      </c>
      <c r="U66">
        <v>0</v>
      </c>
      <c r="V66">
        <f t="shared" si="13"/>
        <v>0</v>
      </c>
      <c r="W66">
        <f t="shared" si="14"/>
        <v>0</v>
      </c>
      <c r="Y66" t="s">
        <v>57</v>
      </c>
      <c r="AB66">
        <v>0</v>
      </c>
      <c r="AC66">
        <v>0</v>
      </c>
      <c r="AD66">
        <v>0</v>
      </c>
      <c r="AE66" s="3" t="s">
        <v>135</v>
      </c>
      <c r="AF66">
        <v>1</v>
      </c>
      <c r="AG66">
        <v>1</v>
      </c>
      <c r="AH66">
        <v>0.2</v>
      </c>
      <c r="AI66" s="24"/>
      <c r="AJ66">
        <v>65</v>
      </c>
    </row>
    <row r="67" spans="1:36" x14ac:dyDescent="0.2">
      <c r="A67">
        <f t="shared" si="6"/>
        <v>66</v>
      </c>
      <c r="B67">
        <v>1630</v>
      </c>
      <c r="C67">
        <v>1630</v>
      </c>
      <c r="D67">
        <v>0</v>
      </c>
      <c r="E67" t="s">
        <v>42</v>
      </c>
      <c r="F67" t="s">
        <v>56</v>
      </c>
      <c r="G67" t="s">
        <v>39</v>
      </c>
      <c r="H67">
        <v>1630</v>
      </c>
      <c r="J67">
        <v>42</v>
      </c>
      <c r="K67">
        <v>100</v>
      </c>
      <c r="L67">
        <v>100</v>
      </c>
      <c r="M67">
        <v>100</v>
      </c>
      <c r="O67" s="7">
        <v>1</v>
      </c>
      <c r="P67" s="8" t="e">
        <f t="shared" si="9"/>
        <v>#DIV/0!</v>
      </c>
      <c r="Q67" s="8" t="e">
        <f t="shared" si="10"/>
        <v>#DIV/0!</v>
      </c>
      <c r="R67" s="8" t="e">
        <f t="shared" si="11"/>
        <v>#DIV/0!</v>
      </c>
      <c r="S67" s="8" t="e">
        <f t="shared" si="12"/>
        <v>#DIV/0!</v>
      </c>
      <c r="T67">
        <v>0</v>
      </c>
      <c r="U67">
        <v>0</v>
      </c>
      <c r="V67">
        <f t="shared" si="13"/>
        <v>0</v>
      </c>
      <c r="W67">
        <f t="shared" si="14"/>
        <v>0</v>
      </c>
      <c r="Y67" t="s">
        <v>57</v>
      </c>
      <c r="AB67">
        <v>0</v>
      </c>
      <c r="AC67">
        <v>0</v>
      </c>
      <c r="AD67">
        <v>0</v>
      </c>
      <c r="AE67" s="3" t="s">
        <v>135</v>
      </c>
      <c r="AF67">
        <v>1</v>
      </c>
      <c r="AG67">
        <v>1</v>
      </c>
      <c r="AH67">
        <v>0.2</v>
      </c>
      <c r="AI67" s="24"/>
      <c r="AJ67">
        <v>66</v>
      </c>
    </row>
    <row r="68" spans="1:36" x14ac:dyDescent="0.2">
      <c r="A68">
        <f t="shared" ref="A68:A131" si="15">A67+1</f>
        <v>67</v>
      </c>
      <c r="B68">
        <v>4500</v>
      </c>
      <c r="C68">
        <v>4500</v>
      </c>
      <c r="D68">
        <v>0</v>
      </c>
      <c r="E68" t="s">
        <v>42</v>
      </c>
      <c r="F68" t="s">
        <v>58</v>
      </c>
      <c r="G68" t="s">
        <v>37</v>
      </c>
      <c r="H68">
        <v>4500</v>
      </c>
      <c r="J68">
        <v>1.1499999999999999</v>
      </c>
      <c r="K68">
        <v>100</v>
      </c>
      <c r="L68">
        <v>100</v>
      </c>
      <c r="M68">
        <v>100</v>
      </c>
      <c r="O68" s="7">
        <v>1</v>
      </c>
      <c r="P68" s="8" t="e">
        <f t="shared" si="9"/>
        <v>#DIV/0!</v>
      </c>
      <c r="Q68" s="8" t="e">
        <f t="shared" si="10"/>
        <v>#DIV/0!</v>
      </c>
      <c r="R68" s="8" t="e">
        <f t="shared" si="11"/>
        <v>#DIV/0!</v>
      </c>
      <c r="S68" s="8" t="e">
        <f t="shared" si="12"/>
        <v>#DIV/0!</v>
      </c>
      <c r="T68">
        <v>0</v>
      </c>
      <c r="U68">
        <v>0</v>
      </c>
      <c r="V68">
        <f t="shared" si="13"/>
        <v>0</v>
      </c>
      <c r="W68">
        <f t="shared" si="14"/>
        <v>0</v>
      </c>
      <c r="Y68" t="s">
        <v>59</v>
      </c>
      <c r="AB68">
        <v>0</v>
      </c>
      <c r="AC68">
        <v>0</v>
      </c>
      <c r="AD68">
        <v>0</v>
      </c>
      <c r="AE68" s="3" t="s">
        <v>135</v>
      </c>
      <c r="AF68">
        <v>1</v>
      </c>
      <c r="AG68">
        <v>1</v>
      </c>
      <c r="AH68">
        <v>0.2</v>
      </c>
      <c r="AI68" s="24"/>
      <c r="AJ68">
        <v>67</v>
      </c>
    </row>
    <row r="69" spans="1:36" x14ac:dyDescent="0.2">
      <c r="A69">
        <f t="shared" si="15"/>
        <v>68</v>
      </c>
      <c r="B69">
        <v>3570</v>
      </c>
      <c r="C69">
        <v>3570</v>
      </c>
      <c r="D69">
        <v>0</v>
      </c>
      <c r="E69" t="s">
        <v>42</v>
      </c>
      <c r="F69" t="s">
        <v>58</v>
      </c>
      <c r="G69" t="s">
        <v>47</v>
      </c>
      <c r="H69">
        <v>3570</v>
      </c>
      <c r="J69">
        <v>70.319999999999993</v>
      </c>
      <c r="K69">
        <v>100</v>
      </c>
      <c r="L69">
        <v>100</v>
      </c>
      <c r="M69">
        <v>100</v>
      </c>
      <c r="O69" s="7">
        <v>1</v>
      </c>
      <c r="P69" s="8" t="e">
        <f t="shared" si="9"/>
        <v>#DIV/0!</v>
      </c>
      <c r="Q69" s="8" t="e">
        <f t="shared" si="10"/>
        <v>#DIV/0!</v>
      </c>
      <c r="R69" s="8" t="e">
        <f t="shared" si="11"/>
        <v>#DIV/0!</v>
      </c>
      <c r="S69" s="8" t="e">
        <f t="shared" si="12"/>
        <v>#DIV/0!</v>
      </c>
      <c r="T69">
        <v>0</v>
      </c>
      <c r="U69">
        <v>0</v>
      </c>
      <c r="V69">
        <f t="shared" si="13"/>
        <v>0</v>
      </c>
      <c r="W69">
        <f t="shared" si="14"/>
        <v>0</v>
      </c>
      <c r="Y69" t="s">
        <v>59</v>
      </c>
      <c r="AB69">
        <v>0</v>
      </c>
      <c r="AC69">
        <v>0</v>
      </c>
      <c r="AD69">
        <v>0</v>
      </c>
      <c r="AE69" s="3" t="s">
        <v>135</v>
      </c>
      <c r="AF69">
        <v>1</v>
      </c>
      <c r="AG69">
        <v>1</v>
      </c>
      <c r="AH69">
        <v>0.2</v>
      </c>
      <c r="AI69" s="24"/>
      <c r="AJ69">
        <v>68</v>
      </c>
    </row>
    <row r="70" spans="1:36" x14ac:dyDescent="0.2">
      <c r="A70">
        <f t="shared" si="15"/>
        <v>69</v>
      </c>
      <c r="B70">
        <v>3615</v>
      </c>
      <c r="C70">
        <v>3615</v>
      </c>
      <c r="D70">
        <v>0</v>
      </c>
      <c r="E70" t="s">
        <v>40</v>
      </c>
      <c r="F70" t="s">
        <v>38</v>
      </c>
      <c r="G70" t="s">
        <v>41</v>
      </c>
      <c r="H70">
        <v>3615</v>
      </c>
      <c r="I70">
        <f>J70+881*100</f>
        <v>88150</v>
      </c>
      <c r="J70">
        <v>50</v>
      </c>
      <c r="K70">
        <v>100</v>
      </c>
      <c r="L70">
        <v>100</v>
      </c>
      <c r="M70">
        <v>100</v>
      </c>
      <c r="O70" s="7">
        <v>1</v>
      </c>
      <c r="P70" s="8" t="e">
        <f t="shared" si="9"/>
        <v>#DIV/0!</v>
      </c>
      <c r="Q70" s="8" t="e">
        <f t="shared" si="10"/>
        <v>#DIV/0!</v>
      </c>
      <c r="R70" s="8" t="e">
        <f t="shared" si="11"/>
        <v>#DIV/0!</v>
      </c>
      <c r="S70" s="8" t="e">
        <f t="shared" si="12"/>
        <v>#DIV/0!</v>
      </c>
      <c r="T70">
        <v>0</v>
      </c>
      <c r="U70">
        <v>0</v>
      </c>
      <c r="V70">
        <f t="shared" si="13"/>
        <v>0</v>
      </c>
      <c r="W70">
        <f t="shared" si="14"/>
        <v>0</v>
      </c>
      <c r="AB70">
        <v>0</v>
      </c>
      <c r="AC70">
        <v>0</v>
      </c>
      <c r="AD70">
        <v>0</v>
      </c>
      <c r="AE70" s="3" t="s">
        <v>135</v>
      </c>
      <c r="AF70">
        <v>1</v>
      </c>
      <c r="AG70">
        <v>1</v>
      </c>
      <c r="AH70">
        <v>0.2</v>
      </c>
      <c r="AI70" s="24"/>
      <c r="AJ70">
        <v>69</v>
      </c>
    </row>
    <row r="71" spans="1:36" x14ac:dyDescent="0.2">
      <c r="A71">
        <f t="shared" si="15"/>
        <v>70</v>
      </c>
      <c r="B71">
        <v>3280</v>
      </c>
      <c r="C71">
        <v>3280</v>
      </c>
      <c r="D71">
        <v>0</v>
      </c>
      <c r="E71" t="s">
        <v>69</v>
      </c>
      <c r="F71" t="s">
        <v>190</v>
      </c>
      <c r="G71" t="s">
        <v>118</v>
      </c>
      <c r="H71">
        <v>3280</v>
      </c>
      <c r="I71">
        <v>38000</v>
      </c>
      <c r="K71">
        <v>50</v>
      </c>
      <c r="L71">
        <v>50</v>
      </c>
      <c r="M71">
        <v>0</v>
      </c>
      <c r="N71">
        <v>4.2300000000000004</v>
      </c>
      <c r="O71">
        <v>1</v>
      </c>
      <c r="P71">
        <v>0.22420000000000001</v>
      </c>
      <c r="Q71">
        <v>0.11210000000000001</v>
      </c>
      <c r="R71">
        <v>0.11210000000000001</v>
      </c>
      <c r="S71">
        <v>0</v>
      </c>
      <c r="T71">
        <v>3278</v>
      </c>
      <c r="U71">
        <v>3281</v>
      </c>
      <c r="V71">
        <v>-2</v>
      </c>
      <c r="W71">
        <v>1</v>
      </c>
      <c r="X71" t="s">
        <v>118</v>
      </c>
      <c r="Y71" t="s">
        <v>70</v>
      </c>
      <c r="AB71">
        <v>0.80391999999999997</v>
      </c>
      <c r="AC71">
        <v>0</v>
      </c>
      <c r="AD71">
        <v>0</v>
      </c>
      <c r="AE71" t="s">
        <v>135</v>
      </c>
      <c r="AF71">
        <v>1</v>
      </c>
      <c r="AG71">
        <v>1</v>
      </c>
      <c r="AH71">
        <v>0.2</v>
      </c>
      <c r="AI71" s="29"/>
      <c r="AJ71">
        <v>70</v>
      </c>
    </row>
    <row r="72" spans="1:36" x14ac:dyDescent="0.2">
      <c r="A72">
        <f t="shared" si="15"/>
        <v>71</v>
      </c>
      <c r="B72">
        <v>3295</v>
      </c>
      <c r="C72">
        <v>3295</v>
      </c>
      <c r="D72">
        <v>0</v>
      </c>
      <c r="E72" t="s">
        <v>69</v>
      </c>
      <c r="F72" t="s">
        <v>190</v>
      </c>
      <c r="G72" t="s">
        <v>119</v>
      </c>
      <c r="H72">
        <v>3295</v>
      </c>
      <c r="I72">
        <v>38000</v>
      </c>
      <c r="K72">
        <v>50</v>
      </c>
      <c r="L72">
        <v>50</v>
      </c>
      <c r="M72">
        <v>0</v>
      </c>
      <c r="N72">
        <v>4.2300000000000004</v>
      </c>
      <c r="O72">
        <v>1</v>
      </c>
      <c r="P72">
        <v>0.22420000000000001</v>
      </c>
      <c r="Q72">
        <v>0.11210000000000001</v>
      </c>
      <c r="R72">
        <v>0.11210000000000001</v>
      </c>
      <c r="S72">
        <v>0</v>
      </c>
      <c r="T72">
        <v>3293</v>
      </c>
      <c r="U72">
        <v>3298</v>
      </c>
      <c r="V72">
        <v>-2</v>
      </c>
      <c r="W72">
        <v>3</v>
      </c>
      <c r="X72" t="s">
        <v>119</v>
      </c>
      <c r="Y72" t="s">
        <v>70</v>
      </c>
      <c r="AB72">
        <v>0.50195999999999996</v>
      </c>
      <c r="AC72">
        <v>0.19216</v>
      </c>
      <c r="AD72">
        <v>0.56862999999999997</v>
      </c>
      <c r="AE72" t="s">
        <v>135</v>
      </c>
      <c r="AF72">
        <v>1</v>
      </c>
      <c r="AG72">
        <v>1</v>
      </c>
      <c r="AH72">
        <v>0.2</v>
      </c>
      <c r="AI72" s="30"/>
      <c r="AJ72">
        <v>71</v>
      </c>
    </row>
    <row r="73" spans="1:36" x14ac:dyDescent="0.2">
      <c r="A73">
        <f t="shared" si="15"/>
        <v>72</v>
      </c>
      <c r="B73">
        <v>3323</v>
      </c>
      <c r="C73">
        <v>3323</v>
      </c>
      <c r="D73">
        <v>0</v>
      </c>
      <c r="E73" t="s">
        <v>69</v>
      </c>
      <c r="F73" t="s">
        <v>190</v>
      </c>
      <c r="G73" t="s">
        <v>120</v>
      </c>
      <c r="H73">
        <v>3323</v>
      </c>
      <c r="I73">
        <v>38000</v>
      </c>
      <c r="K73">
        <v>50</v>
      </c>
      <c r="L73">
        <v>50</v>
      </c>
      <c r="M73">
        <v>0</v>
      </c>
      <c r="N73">
        <v>4.2300000000000004</v>
      </c>
      <c r="O73">
        <v>1</v>
      </c>
      <c r="P73">
        <v>0.22420000000000001</v>
      </c>
      <c r="Q73">
        <v>0.11210000000000001</v>
      </c>
      <c r="R73">
        <v>0.11210000000000001</v>
      </c>
      <c r="S73">
        <v>0</v>
      </c>
      <c r="T73">
        <v>3322</v>
      </c>
      <c r="U73">
        <v>3327</v>
      </c>
      <c r="V73">
        <v>-1</v>
      </c>
      <c r="W73">
        <v>4</v>
      </c>
      <c r="X73" t="s">
        <v>120</v>
      </c>
      <c r="Y73" t="s">
        <v>70</v>
      </c>
      <c r="AB73">
        <v>0.14118</v>
      </c>
      <c r="AC73">
        <v>0.54901999999999995</v>
      </c>
      <c r="AD73">
        <v>0.26274999999999998</v>
      </c>
      <c r="AE73" t="s">
        <v>135</v>
      </c>
      <c r="AF73">
        <v>1</v>
      </c>
      <c r="AG73">
        <v>1</v>
      </c>
      <c r="AH73">
        <v>0.2</v>
      </c>
      <c r="AI73" s="31"/>
      <c r="AJ73">
        <v>72</v>
      </c>
    </row>
    <row r="74" spans="1:36" x14ac:dyDescent="0.2">
      <c r="A74">
        <f t="shared" si="15"/>
        <v>73</v>
      </c>
      <c r="B74">
        <v>3280</v>
      </c>
      <c r="C74">
        <v>3280</v>
      </c>
      <c r="D74">
        <v>0</v>
      </c>
      <c r="E74" t="s">
        <v>69</v>
      </c>
      <c r="F74" t="s">
        <v>191</v>
      </c>
      <c r="G74" t="s">
        <v>118</v>
      </c>
      <c r="H74">
        <v>3280</v>
      </c>
      <c r="I74">
        <v>38000</v>
      </c>
      <c r="K74">
        <v>50</v>
      </c>
      <c r="L74">
        <v>50</v>
      </c>
      <c r="M74">
        <v>0</v>
      </c>
      <c r="N74">
        <v>4.2300000000000004</v>
      </c>
      <c r="O74">
        <v>1</v>
      </c>
      <c r="P74">
        <v>0.22420000000000001</v>
      </c>
      <c r="Q74">
        <v>0.11210000000000001</v>
      </c>
      <c r="R74">
        <v>0.11210000000000001</v>
      </c>
      <c r="S74">
        <v>0</v>
      </c>
      <c r="T74">
        <v>3278</v>
      </c>
      <c r="U74">
        <v>3281</v>
      </c>
      <c r="V74">
        <v>-2</v>
      </c>
      <c r="W74">
        <v>1</v>
      </c>
      <c r="X74" t="s">
        <v>118</v>
      </c>
      <c r="Y74" t="s">
        <v>70</v>
      </c>
      <c r="AB74">
        <v>0.80391999999999997</v>
      </c>
      <c r="AC74">
        <v>0</v>
      </c>
      <c r="AD74">
        <v>0</v>
      </c>
      <c r="AE74" t="s">
        <v>135</v>
      </c>
      <c r="AF74">
        <v>1</v>
      </c>
      <c r="AG74">
        <v>1</v>
      </c>
      <c r="AH74">
        <v>0.2</v>
      </c>
      <c r="AI74" s="29"/>
      <c r="AJ74">
        <v>73</v>
      </c>
    </row>
    <row r="75" spans="1:36" x14ac:dyDescent="0.2">
      <c r="A75">
        <f t="shared" si="15"/>
        <v>74</v>
      </c>
      <c r="B75">
        <v>3295</v>
      </c>
      <c r="C75">
        <v>3295</v>
      </c>
      <c r="D75">
        <v>0</v>
      </c>
      <c r="E75" t="s">
        <v>69</v>
      </c>
      <c r="F75" t="s">
        <v>191</v>
      </c>
      <c r="G75" t="s">
        <v>119</v>
      </c>
      <c r="H75">
        <v>3295</v>
      </c>
      <c r="I75">
        <v>38000</v>
      </c>
      <c r="K75">
        <v>50</v>
      </c>
      <c r="L75">
        <v>50</v>
      </c>
      <c r="M75">
        <v>0</v>
      </c>
      <c r="N75">
        <v>4.2300000000000004</v>
      </c>
      <c r="O75">
        <v>1</v>
      </c>
      <c r="P75">
        <v>0.22420000000000001</v>
      </c>
      <c r="Q75">
        <v>0.11210000000000001</v>
      </c>
      <c r="R75">
        <v>0.11210000000000001</v>
      </c>
      <c r="S75">
        <v>0</v>
      </c>
      <c r="T75">
        <v>3293</v>
      </c>
      <c r="U75">
        <v>3298</v>
      </c>
      <c r="V75">
        <v>-2</v>
      </c>
      <c r="W75">
        <v>3</v>
      </c>
      <c r="X75" t="s">
        <v>119</v>
      </c>
      <c r="Y75" t="s">
        <v>70</v>
      </c>
      <c r="AB75">
        <v>0.50195999999999996</v>
      </c>
      <c r="AC75">
        <v>0.19216</v>
      </c>
      <c r="AD75">
        <v>0.56862999999999997</v>
      </c>
      <c r="AE75" t="s">
        <v>135</v>
      </c>
      <c r="AF75">
        <v>1</v>
      </c>
      <c r="AG75">
        <v>1</v>
      </c>
      <c r="AH75">
        <v>0.2</v>
      </c>
      <c r="AI75" s="30"/>
      <c r="AJ75">
        <v>74</v>
      </c>
    </row>
    <row r="76" spans="1:36" x14ac:dyDescent="0.2">
      <c r="A76">
        <f t="shared" si="15"/>
        <v>75</v>
      </c>
      <c r="B76">
        <v>3370</v>
      </c>
      <c r="C76">
        <v>3370</v>
      </c>
      <c r="D76">
        <v>0</v>
      </c>
      <c r="E76" t="s">
        <v>69</v>
      </c>
      <c r="F76" t="s">
        <v>191</v>
      </c>
      <c r="G76" t="s">
        <v>121</v>
      </c>
      <c r="H76">
        <v>3370</v>
      </c>
      <c r="I76">
        <v>38000</v>
      </c>
      <c r="K76">
        <v>50</v>
      </c>
      <c r="L76">
        <v>50</v>
      </c>
      <c r="M76">
        <v>0</v>
      </c>
      <c r="N76">
        <v>4.2300000000000004</v>
      </c>
      <c r="O76">
        <v>1</v>
      </c>
      <c r="P76">
        <v>0.22420000000000001</v>
      </c>
      <c r="Q76">
        <v>0.11210000000000001</v>
      </c>
      <c r="R76">
        <v>0.11210000000000001</v>
      </c>
      <c r="S76">
        <v>0</v>
      </c>
      <c r="T76">
        <v>3365</v>
      </c>
      <c r="U76">
        <v>3375</v>
      </c>
      <c r="V76">
        <v>-5</v>
      </c>
      <c r="W76">
        <v>5</v>
      </c>
      <c r="X76" t="s">
        <v>121</v>
      </c>
      <c r="Y76" t="s">
        <v>70</v>
      </c>
      <c r="AB76">
        <v>0.17255000000000001</v>
      </c>
      <c r="AC76">
        <v>0.59216000000000002</v>
      </c>
      <c r="AD76">
        <v>1</v>
      </c>
      <c r="AE76" t="s">
        <v>135</v>
      </c>
      <c r="AF76">
        <v>1</v>
      </c>
      <c r="AG76">
        <v>1</v>
      </c>
      <c r="AH76">
        <v>0.2</v>
      </c>
      <c r="AI76" s="32"/>
      <c r="AJ76">
        <v>75</v>
      </c>
    </row>
    <row r="77" spans="1:36" x14ac:dyDescent="0.2">
      <c r="A77">
        <f t="shared" si="15"/>
        <v>76</v>
      </c>
      <c r="B77">
        <v>3390</v>
      </c>
      <c r="C77">
        <v>3390</v>
      </c>
      <c r="D77">
        <v>0</v>
      </c>
      <c r="E77" t="s">
        <v>69</v>
      </c>
      <c r="F77" t="s">
        <v>191</v>
      </c>
      <c r="G77" t="s">
        <v>122</v>
      </c>
      <c r="H77">
        <v>3390</v>
      </c>
      <c r="I77">
        <v>38000</v>
      </c>
      <c r="K77">
        <v>50</v>
      </c>
      <c r="L77">
        <v>50</v>
      </c>
      <c r="M77">
        <v>0</v>
      </c>
      <c r="N77">
        <v>4.2300000000000004</v>
      </c>
      <c r="O77">
        <v>1</v>
      </c>
      <c r="P77">
        <v>0.22420000000000001</v>
      </c>
      <c r="Q77">
        <v>0.11210000000000001</v>
      </c>
      <c r="R77">
        <v>0.11210000000000001</v>
      </c>
      <c r="S77">
        <v>0</v>
      </c>
      <c r="T77">
        <v>3385</v>
      </c>
      <c r="U77">
        <v>3395</v>
      </c>
      <c r="V77">
        <v>-5</v>
      </c>
      <c r="W77">
        <v>5</v>
      </c>
      <c r="X77" t="s">
        <v>122</v>
      </c>
      <c r="Y77" t="s">
        <v>70</v>
      </c>
      <c r="AB77">
        <v>0.4</v>
      </c>
      <c r="AC77">
        <v>0.40392</v>
      </c>
      <c r="AD77">
        <v>0.4</v>
      </c>
      <c r="AE77" t="s">
        <v>135</v>
      </c>
      <c r="AF77">
        <v>1</v>
      </c>
      <c r="AG77">
        <v>1</v>
      </c>
      <c r="AH77">
        <v>0.2</v>
      </c>
      <c r="AI77" s="33"/>
      <c r="AJ77">
        <v>76</v>
      </c>
    </row>
    <row r="78" spans="1:36" x14ac:dyDescent="0.2">
      <c r="A78">
        <f t="shared" si="15"/>
        <v>77</v>
      </c>
      <c r="B78">
        <v>3349</v>
      </c>
      <c r="C78">
        <v>3349</v>
      </c>
      <c r="D78">
        <v>0</v>
      </c>
      <c r="E78" t="s">
        <v>69</v>
      </c>
      <c r="F78" t="s">
        <v>191</v>
      </c>
      <c r="G78" t="s">
        <v>123</v>
      </c>
      <c r="H78">
        <v>3349</v>
      </c>
      <c r="I78">
        <v>38000</v>
      </c>
      <c r="K78">
        <v>50</v>
      </c>
      <c r="L78">
        <v>50</v>
      </c>
      <c r="M78">
        <v>0</v>
      </c>
      <c r="N78">
        <v>4.2300000000000004</v>
      </c>
      <c r="O78">
        <v>1</v>
      </c>
      <c r="P78">
        <v>0.22420000000000001</v>
      </c>
      <c r="Q78">
        <v>0.11210000000000001</v>
      </c>
      <c r="R78">
        <v>0.11210000000000001</v>
      </c>
      <c r="S78">
        <v>0</v>
      </c>
      <c r="T78">
        <v>3345</v>
      </c>
      <c r="U78">
        <v>3352</v>
      </c>
      <c r="V78">
        <v>-4</v>
      </c>
      <c r="W78">
        <v>3</v>
      </c>
      <c r="X78" t="s">
        <v>123</v>
      </c>
      <c r="Y78" t="s">
        <v>70</v>
      </c>
      <c r="AB78">
        <v>0.98038999999999998</v>
      </c>
      <c r="AC78">
        <v>0.63922000000000001</v>
      </c>
      <c r="AD78">
        <v>2.7451E-2</v>
      </c>
      <c r="AE78" t="s">
        <v>135</v>
      </c>
      <c r="AF78">
        <v>1</v>
      </c>
      <c r="AG78">
        <v>1</v>
      </c>
      <c r="AH78">
        <v>0.2</v>
      </c>
      <c r="AI78" s="34"/>
      <c r="AJ78">
        <v>77</v>
      </c>
    </row>
    <row r="79" spans="1:36" x14ac:dyDescent="0.2">
      <c r="A79">
        <f t="shared" si="15"/>
        <v>78</v>
      </c>
      <c r="B79">
        <v>3310</v>
      </c>
      <c r="C79">
        <v>3310</v>
      </c>
      <c r="D79">
        <v>0</v>
      </c>
      <c r="E79" t="s">
        <v>69</v>
      </c>
      <c r="F79" t="s">
        <v>191</v>
      </c>
      <c r="G79" t="s">
        <v>192</v>
      </c>
      <c r="H79">
        <v>3310</v>
      </c>
      <c r="I79">
        <v>38000</v>
      </c>
      <c r="K79">
        <v>50</v>
      </c>
      <c r="L79">
        <v>50</v>
      </c>
      <c r="M79">
        <v>0</v>
      </c>
      <c r="N79">
        <v>4.2300000000000004</v>
      </c>
      <c r="O79">
        <v>1</v>
      </c>
      <c r="P79">
        <v>0.22420000000000001</v>
      </c>
      <c r="Q79">
        <v>0.11210000000000001</v>
      </c>
      <c r="R79">
        <v>0.11210000000000001</v>
      </c>
      <c r="S79">
        <v>0</v>
      </c>
      <c r="T79">
        <v>3306</v>
      </c>
      <c r="U79">
        <v>3314</v>
      </c>
      <c r="V79">
        <v>-4</v>
      </c>
      <c r="W79">
        <v>4</v>
      </c>
      <c r="X79" t="s">
        <v>192</v>
      </c>
      <c r="Y79" t="s">
        <v>70</v>
      </c>
      <c r="AB79">
        <v>0</v>
      </c>
      <c r="AC79">
        <v>0</v>
      </c>
      <c r="AD79">
        <v>0</v>
      </c>
      <c r="AE79" t="s">
        <v>135</v>
      </c>
      <c r="AF79">
        <v>1</v>
      </c>
      <c r="AG79">
        <v>1</v>
      </c>
      <c r="AH79">
        <v>0.2</v>
      </c>
      <c r="AI79" s="24"/>
      <c r="AJ79">
        <v>78</v>
      </c>
    </row>
    <row r="80" spans="1:36" x14ac:dyDescent="0.2">
      <c r="A80">
        <f t="shared" si="15"/>
        <v>79</v>
      </c>
      <c r="B80">
        <v>3674</v>
      </c>
      <c r="C80">
        <v>3674</v>
      </c>
      <c r="D80">
        <v>0</v>
      </c>
      <c r="E80" t="s">
        <v>106</v>
      </c>
      <c r="F80" t="s">
        <v>105</v>
      </c>
      <c r="G80" t="str">
        <f t="shared" ref="G80:G92" si="16">F80&amp;" "</f>
        <v xml:space="preserve">Amphibole </v>
      </c>
      <c r="H80">
        <v>3674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 s="7">
        <v>0</v>
      </c>
      <c r="P80" s="8" t="e">
        <f t="shared" ref="P80:P106" si="17">(18.01528/($N80*$I80)*1000)</f>
        <v>#DIV/0!</v>
      </c>
      <c r="Q80" s="8" t="e">
        <f t="shared" ref="Q80:Q106" si="18">(1/(K80/100))*$P80</f>
        <v>#DIV/0!</v>
      </c>
      <c r="R80" s="8" t="e">
        <f t="shared" ref="R80:R106" si="19">(1/(L80/100))*$P80</f>
        <v>#DIV/0!</v>
      </c>
      <c r="S80" s="8" t="e">
        <f t="shared" ref="S80:S106" si="20">(1/(M80/100))*$P80</f>
        <v>#DIV/0!</v>
      </c>
      <c r="T80">
        <v>0</v>
      </c>
      <c r="U80">
        <v>0</v>
      </c>
      <c r="V80">
        <f t="shared" ref="V80:V92" si="21">IF(T80=0,0,-(C80-T80))</f>
        <v>0</v>
      </c>
      <c r="W80">
        <f t="shared" ref="W80:W92" si="22">IF(U80=0,0,(U80-C80))</f>
        <v>0</v>
      </c>
      <c r="X80" t="s">
        <v>105</v>
      </c>
      <c r="AB80">
        <v>0</v>
      </c>
      <c r="AC80">
        <v>0</v>
      </c>
      <c r="AD80">
        <v>0</v>
      </c>
      <c r="AE80" s="3" t="s">
        <v>135</v>
      </c>
      <c r="AF80">
        <v>1</v>
      </c>
      <c r="AG80">
        <v>1</v>
      </c>
      <c r="AH80">
        <v>0.2</v>
      </c>
      <c r="AI80" s="24"/>
      <c r="AJ80">
        <v>79</v>
      </c>
    </row>
    <row r="81" spans="1:36" x14ac:dyDescent="0.2">
      <c r="A81">
        <f t="shared" si="15"/>
        <v>80</v>
      </c>
      <c r="B81">
        <v>3660</v>
      </c>
      <c r="C81">
        <v>3660</v>
      </c>
      <c r="D81">
        <v>0</v>
      </c>
      <c r="E81" t="s">
        <v>106</v>
      </c>
      <c r="F81" t="s">
        <v>105</v>
      </c>
      <c r="G81" t="str">
        <f t="shared" si="16"/>
        <v xml:space="preserve">Amphibole </v>
      </c>
      <c r="H81">
        <v>3660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 s="7">
        <v>0</v>
      </c>
      <c r="P81" s="8" t="e">
        <f t="shared" si="17"/>
        <v>#DIV/0!</v>
      </c>
      <c r="Q81" s="8" t="e">
        <f t="shared" si="18"/>
        <v>#DIV/0!</v>
      </c>
      <c r="R81" s="8" t="e">
        <f t="shared" si="19"/>
        <v>#DIV/0!</v>
      </c>
      <c r="S81" s="8" t="e">
        <f t="shared" si="20"/>
        <v>#DIV/0!</v>
      </c>
      <c r="T81">
        <v>0</v>
      </c>
      <c r="U81">
        <v>0</v>
      </c>
      <c r="V81">
        <f t="shared" si="21"/>
        <v>0</v>
      </c>
      <c r="W81">
        <f t="shared" si="22"/>
        <v>0</v>
      </c>
      <c r="X81" t="s">
        <v>105</v>
      </c>
      <c r="AB81">
        <v>0</v>
      </c>
      <c r="AC81">
        <v>0</v>
      </c>
      <c r="AD81">
        <v>0</v>
      </c>
      <c r="AE81" s="3" t="s">
        <v>135</v>
      </c>
      <c r="AF81">
        <v>1</v>
      </c>
      <c r="AG81">
        <v>1</v>
      </c>
      <c r="AH81">
        <v>0.2</v>
      </c>
      <c r="AI81" s="24"/>
      <c r="AJ81">
        <v>80</v>
      </c>
    </row>
    <row r="82" spans="1:36" x14ac:dyDescent="0.2">
      <c r="A82">
        <f t="shared" si="15"/>
        <v>81</v>
      </c>
      <c r="B82">
        <v>3676</v>
      </c>
      <c r="C82">
        <v>3676</v>
      </c>
      <c r="D82">
        <v>0</v>
      </c>
      <c r="E82" t="s">
        <v>106</v>
      </c>
      <c r="F82" t="s">
        <v>107</v>
      </c>
      <c r="G82" t="str">
        <f t="shared" si="16"/>
        <v xml:space="preserve">Chlorite </v>
      </c>
      <c r="H82">
        <v>3676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 s="7">
        <v>0</v>
      </c>
      <c r="P82" s="8" t="e">
        <f t="shared" si="17"/>
        <v>#DIV/0!</v>
      </c>
      <c r="Q82" s="8" t="e">
        <f t="shared" si="18"/>
        <v>#DIV/0!</v>
      </c>
      <c r="R82" s="8" t="e">
        <f t="shared" si="19"/>
        <v>#DIV/0!</v>
      </c>
      <c r="S82" s="8" t="e">
        <f t="shared" si="20"/>
        <v>#DIV/0!</v>
      </c>
      <c r="T82">
        <v>0</v>
      </c>
      <c r="U82">
        <v>0</v>
      </c>
      <c r="V82">
        <f t="shared" si="21"/>
        <v>0</v>
      </c>
      <c r="W82">
        <f t="shared" si="22"/>
        <v>0</v>
      </c>
      <c r="X82" t="s">
        <v>107</v>
      </c>
      <c r="AB82">
        <v>0</v>
      </c>
      <c r="AC82">
        <v>0</v>
      </c>
      <c r="AD82">
        <v>0</v>
      </c>
      <c r="AE82" s="3" t="s">
        <v>135</v>
      </c>
      <c r="AF82">
        <v>1</v>
      </c>
      <c r="AG82">
        <v>1</v>
      </c>
      <c r="AH82">
        <v>0.2</v>
      </c>
      <c r="AI82" s="24"/>
      <c r="AJ82">
        <v>81</v>
      </c>
    </row>
    <row r="83" spans="1:36" x14ac:dyDescent="0.2">
      <c r="A83">
        <f t="shared" si="15"/>
        <v>82</v>
      </c>
      <c r="B83">
        <v>3558</v>
      </c>
      <c r="C83">
        <v>3558</v>
      </c>
      <c r="D83">
        <v>0</v>
      </c>
      <c r="E83" t="s">
        <v>106</v>
      </c>
      <c r="F83" t="s">
        <v>107</v>
      </c>
      <c r="G83" t="str">
        <f t="shared" si="16"/>
        <v xml:space="preserve">Chlorite </v>
      </c>
      <c r="H83">
        <v>3558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 s="7">
        <v>0</v>
      </c>
      <c r="P83" s="8" t="e">
        <f t="shared" si="17"/>
        <v>#DIV/0!</v>
      </c>
      <c r="Q83" s="8" t="e">
        <f t="shared" si="18"/>
        <v>#DIV/0!</v>
      </c>
      <c r="R83" s="8" t="e">
        <f t="shared" si="19"/>
        <v>#DIV/0!</v>
      </c>
      <c r="S83" s="8" t="e">
        <f t="shared" si="20"/>
        <v>#DIV/0!</v>
      </c>
      <c r="T83">
        <v>3550</v>
      </c>
      <c r="U83">
        <v>3580</v>
      </c>
      <c r="V83">
        <f t="shared" si="21"/>
        <v>-8</v>
      </c>
      <c r="W83">
        <f t="shared" si="22"/>
        <v>22</v>
      </c>
      <c r="X83" t="s">
        <v>107</v>
      </c>
      <c r="AB83">
        <v>0</v>
      </c>
      <c r="AC83">
        <v>0</v>
      </c>
      <c r="AD83">
        <v>0</v>
      </c>
      <c r="AE83" s="3" t="s">
        <v>135</v>
      </c>
      <c r="AF83">
        <v>1</v>
      </c>
      <c r="AG83">
        <v>1</v>
      </c>
      <c r="AH83">
        <v>0.2</v>
      </c>
      <c r="AI83" s="24"/>
      <c r="AJ83">
        <v>82</v>
      </c>
    </row>
    <row r="84" spans="1:36" x14ac:dyDescent="0.2">
      <c r="A84">
        <f t="shared" si="15"/>
        <v>83</v>
      </c>
      <c r="B84">
        <v>3400</v>
      </c>
      <c r="C84">
        <v>3400</v>
      </c>
      <c r="D84">
        <v>0</v>
      </c>
      <c r="E84" t="s">
        <v>106</v>
      </c>
      <c r="F84" t="s">
        <v>107</v>
      </c>
      <c r="G84" t="str">
        <f t="shared" si="16"/>
        <v xml:space="preserve">Chlorite </v>
      </c>
      <c r="H84" s="12">
        <v>3400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 s="7">
        <v>0</v>
      </c>
      <c r="P84" s="8" t="e">
        <f t="shared" si="17"/>
        <v>#DIV/0!</v>
      </c>
      <c r="Q84" s="8" t="e">
        <f t="shared" si="18"/>
        <v>#DIV/0!</v>
      </c>
      <c r="R84" s="8" t="e">
        <f t="shared" si="19"/>
        <v>#DIV/0!</v>
      </c>
      <c r="S84" s="8" t="e">
        <f t="shared" si="20"/>
        <v>#DIV/0!</v>
      </c>
      <c r="T84" s="12">
        <v>3400</v>
      </c>
      <c r="U84" s="12">
        <v>3400</v>
      </c>
      <c r="V84">
        <f t="shared" si="21"/>
        <v>0</v>
      </c>
      <c r="W84">
        <f t="shared" si="22"/>
        <v>0</v>
      </c>
      <c r="X84" t="s">
        <v>107</v>
      </c>
      <c r="AB84">
        <v>0</v>
      </c>
      <c r="AC84">
        <v>0</v>
      </c>
      <c r="AD84">
        <v>0</v>
      </c>
      <c r="AE84" s="3" t="s">
        <v>135</v>
      </c>
      <c r="AF84">
        <v>1</v>
      </c>
      <c r="AG84">
        <v>1</v>
      </c>
      <c r="AH84">
        <v>0.2</v>
      </c>
      <c r="AI84" s="24"/>
      <c r="AJ84">
        <v>83</v>
      </c>
    </row>
    <row r="85" spans="1:36" x14ac:dyDescent="0.2">
      <c r="A85">
        <f t="shared" si="15"/>
        <v>84</v>
      </c>
      <c r="B85">
        <v>3400</v>
      </c>
      <c r="C85">
        <v>3400</v>
      </c>
      <c r="D85">
        <v>0</v>
      </c>
      <c r="E85" t="s">
        <v>106</v>
      </c>
      <c r="F85" t="s">
        <v>166</v>
      </c>
      <c r="G85" t="str">
        <f t="shared" si="16"/>
        <v xml:space="preserve">Fluid Inclusion </v>
      </c>
      <c r="H85">
        <v>3400</v>
      </c>
      <c r="I85">
        <v>0</v>
      </c>
      <c r="J85">
        <v>81</v>
      </c>
      <c r="K85">
        <v>100</v>
      </c>
      <c r="L85">
        <v>100</v>
      </c>
      <c r="M85">
        <v>100</v>
      </c>
      <c r="N85">
        <v>1</v>
      </c>
      <c r="O85" s="7">
        <v>0</v>
      </c>
      <c r="P85" s="8" t="e">
        <f t="shared" si="17"/>
        <v>#DIV/0!</v>
      </c>
      <c r="Q85" s="8" t="e">
        <f t="shared" si="18"/>
        <v>#DIV/0!</v>
      </c>
      <c r="R85" s="8" t="e">
        <f t="shared" si="19"/>
        <v>#DIV/0!</v>
      </c>
      <c r="S85" s="8" t="e">
        <f t="shared" si="20"/>
        <v>#DIV/0!</v>
      </c>
      <c r="T85">
        <v>0</v>
      </c>
      <c r="U85">
        <v>0</v>
      </c>
      <c r="V85">
        <f t="shared" si="21"/>
        <v>0</v>
      </c>
      <c r="W85">
        <f t="shared" si="22"/>
        <v>0</v>
      </c>
      <c r="X85" t="s">
        <v>167</v>
      </c>
      <c r="AB85">
        <v>0</v>
      </c>
      <c r="AC85">
        <v>0</v>
      </c>
      <c r="AD85">
        <v>0</v>
      </c>
      <c r="AE85" s="3" t="s">
        <v>135</v>
      </c>
      <c r="AF85">
        <v>1</v>
      </c>
      <c r="AG85">
        <v>1</v>
      </c>
      <c r="AH85">
        <v>0.2</v>
      </c>
      <c r="AI85" s="24"/>
      <c r="AJ85">
        <v>84</v>
      </c>
    </row>
    <row r="86" spans="1:36" x14ac:dyDescent="0.2">
      <c r="A86">
        <f t="shared" si="15"/>
        <v>85</v>
      </c>
      <c r="B86">
        <v>3610</v>
      </c>
      <c r="C86">
        <v>3610</v>
      </c>
      <c r="D86">
        <v>0</v>
      </c>
      <c r="E86" t="s">
        <v>106</v>
      </c>
      <c r="F86" t="s">
        <v>108</v>
      </c>
      <c r="G86" t="str">
        <f t="shared" si="16"/>
        <v xml:space="preserve">Mica </v>
      </c>
      <c r="H86">
        <v>3610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s="7">
        <v>0</v>
      </c>
      <c r="P86" s="8" t="e">
        <f t="shared" si="17"/>
        <v>#DIV/0!</v>
      </c>
      <c r="Q86" s="8" t="e">
        <f t="shared" si="18"/>
        <v>#DIV/0!</v>
      </c>
      <c r="R86" s="8" t="e">
        <f t="shared" si="19"/>
        <v>#DIV/0!</v>
      </c>
      <c r="S86" s="8" t="e">
        <f t="shared" si="20"/>
        <v>#DIV/0!</v>
      </c>
      <c r="T86">
        <v>0</v>
      </c>
      <c r="U86">
        <v>0</v>
      </c>
      <c r="V86">
        <f t="shared" si="21"/>
        <v>0</v>
      </c>
      <c r="W86">
        <f t="shared" si="22"/>
        <v>0</v>
      </c>
      <c r="X86" t="s">
        <v>108</v>
      </c>
      <c r="AB86">
        <v>0</v>
      </c>
      <c r="AC86">
        <v>0</v>
      </c>
      <c r="AD86">
        <v>0</v>
      </c>
      <c r="AE86" s="3" t="s">
        <v>135</v>
      </c>
      <c r="AF86">
        <v>1</v>
      </c>
      <c r="AG86">
        <v>1</v>
      </c>
      <c r="AH86">
        <v>0.2</v>
      </c>
      <c r="AI86" s="24"/>
      <c r="AJ86">
        <v>85</v>
      </c>
    </row>
    <row r="87" spans="1:36" x14ac:dyDescent="0.2">
      <c r="A87">
        <f t="shared" si="15"/>
        <v>86</v>
      </c>
      <c r="B87">
        <v>3694</v>
      </c>
      <c r="C87">
        <v>3694</v>
      </c>
      <c r="D87">
        <v>0</v>
      </c>
      <c r="E87" t="s">
        <v>106</v>
      </c>
      <c r="F87" t="s">
        <v>109</v>
      </c>
      <c r="G87" t="str">
        <f t="shared" si="16"/>
        <v xml:space="preserve">Antigorite </v>
      </c>
      <c r="H87">
        <v>3694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 s="7">
        <v>0</v>
      </c>
      <c r="P87" s="8" t="e">
        <f t="shared" si="17"/>
        <v>#DIV/0!</v>
      </c>
      <c r="Q87" s="8" t="e">
        <f t="shared" si="18"/>
        <v>#DIV/0!</v>
      </c>
      <c r="R87" s="8" t="e">
        <f t="shared" si="19"/>
        <v>#DIV/0!</v>
      </c>
      <c r="S87" s="8" t="e">
        <f t="shared" si="20"/>
        <v>#DIV/0!</v>
      </c>
      <c r="T87">
        <v>0</v>
      </c>
      <c r="U87">
        <v>0</v>
      </c>
      <c r="V87">
        <f t="shared" si="21"/>
        <v>0</v>
      </c>
      <c r="W87">
        <f t="shared" si="22"/>
        <v>0</v>
      </c>
      <c r="X87" t="s">
        <v>109</v>
      </c>
      <c r="AB87">
        <v>0</v>
      </c>
      <c r="AC87">
        <v>0</v>
      </c>
      <c r="AD87">
        <v>0</v>
      </c>
      <c r="AE87" s="3" t="s">
        <v>135</v>
      </c>
      <c r="AF87">
        <v>1</v>
      </c>
      <c r="AG87">
        <v>1</v>
      </c>
      <c r="AH87">
        <v>0.2</v>
      </c>
      <c r="AI87" s="24"/>
      <c r="AJ87">
        <v>86</v>
      </c>
    </row>
    <row r="88" spans="1:36" x14ac:dyDescent="0.2">
      <c r="A88">
        <f t="shared" si="15"/>
        <v>87</v>
      </c>
      <c r="B88">
        <v>3525</v>
      </c>
      <c r="C88">
        <v>3525</v>
      </c>
      <c r="D88">
        <v>0</v>
      </c>
      <c r="E88" t="s">
        <v>106</v>
      </c>
      <c r="F88" t="s">
        <v>110</v>
      </c>
      <c r="G88" t="str">
        <f t="shared" si="16"/>
        <v xml:space="preserve">Ti-Clinohumit </v>
      </c>
      <c r="H88">
        <v>3525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 s="7">
        <v>0</v>
      </c>
      <c r="P88" s="8" t="e">
        <f t="shared" si="17"/>
        <v>#DIV/0!</v>
      </c>
      <c r="Q88" s="8" t="e">
        <f t="shared" si="18"/>
        <v>#DIV/0!</v>
      </c>
      <c r="R88" s="8" t="e">
        <f t="shared" si="19"/>
        <v>#DIV/0!</v>
      </c>
      <c r="S88" s="8" t="e">
        <f t="shared" si="20"/>
        <v>#DIV/0!</v>
      </c>
      <c r="T88">
        <v>0</v>
      </c>
      <c r="U88">
        <v>0</v>
      </c>
      <c r="V88">
        <f t="shared" si="21"/>
        <v>0</v>
      </c>
      <c r="W88">
        <f t="shared" si="22"/>
        <v>0</v>
      </c>
      <c r="X88" t="s">
        <v>110</v>
      </c>
      <c r="AB88">
        <v>0</v>
      </c>
      <c r="AC88">
        <v>0</v>
      </c>
      <c r="AD88">
        <v>0</v>
      </c>
      <c r="AE88" s="3" t="s">
        <v>135</v>
      </c>
      <c r="AF88">
        <v>1</v>
      </c>
      <c r="AG88">
        <v>1</v>
      </c>
      <c r="AH88">
        <v>0.2</v>
      </c>
      <c r="AI88" s="24"/>
      <c r="AJ88">
        <v>87</v>
      </c>
    </row>
    <row r="89" spans="1:36" x14ac:dyDescent="0.2">
      <c r="A89">
        <f t="shared" si="15"/>
        <v>88</v>
      </c>
      <c r="B89">
        <v>3564</v>
      </c>
      <c r="C89">
        <v>3564</v>
      </c>
      <c r="D89">
        <v>0</v>
      </c>
      <c r="E89" t="s">
        <v>106</v>
      </c>
      <c r="F89" t="s">
        <v>110</v>
      </c>
      <c r="G89" t="str">
        <f t="shared" si="16"/>
        <v xml:space="preserve">Ti-Clinohumit </v>
      </c>
      <c r="H89">
        <v>3564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 s="7">
        <v>0</v>
      </c>
      <c r="P89" s="8" t="e">
        <f t="shared" si="17"/>
        <v>#DIV/0!</v>
      </c>
      <c r="Q89" s="8" t="e">
        <f t="shared" si="18"/>
        <v>#DIV/0!</v>
      </c>
      <c r="R89" s="8" t="e">
        <f t="shared" si="19"/>
        <v>#DIV/0!</v>
      </c>
      <c r="S89" s="8" t="e">
        <f t="shared" si="20"/>
        <v>#DIV/0!</v>
      </c>
      <c r="T89">
        <v>0</v>
      </c>
      <c r="U89">
        <v>0</v>
      </c>
      <c r="V89">
        <f t="shared" si="21"/>
        <v>0</v>
      </c>
      <c r="W89">
        <f t="shared" si="22"/>
        <v>0</v>
      </c>
      <c r="X89" t="s">
        <v>110</v>
      </c>
      <c r="AB89">
        <v>0</v>
      </c>
      <c r="AC89">
        <v>0</v>
      </c>
      <c r="AD89">
        <v>0</v>
      </c>
      <c r="AE89" s="3" t="s">
        <v>135</v>
      </c>
      <c r="AF89">
        <v>1</v>
      </c>
      <c r="AG89">
        <v>1</v>
      </c>
      <c r="AH89">
        <v>0.2</v>
      </c>
      <c r="AI89" s="24"/>
      <c r="AJ89">
        <v>88</v>
      </c>
    </row>
    <row r="90" spans="1:36" x14ac:dyDescent="0.2">
      <c r="A90">
        <f t="shared" si="15"/>
        <v>89</v>
      </c>
      <c r="B90">
        <v>3369</v>
      </c>
      <c r="C90">
        <v>3369</v>
      </c>
      <c r="D90">
        <v>0</v>
      </c>
      <c r="E90" t="s">
        <v>106</v>
      </c>
      <c r="F90" t="s">
        <v>110</v>
      </c>
      <c r="G90" t="str">
        <f t="shared" si="16"/>
        <v xml:space="preserve">Ti-Clinohumit </v>
      </c>
      <c r="H90">
        <v>3369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 s="7">
        <v>0</v>
      </c>
      <c r="P90" s="8" t="e">
        <f t="shared" si="17"/>
        <v>#DIV/0!</v>
      </c>
      <c r="Q90" s="8" t="e">
        <f t="shared" si="18"/>
        <v>#DIV/0!</v>
      </c>
      <c r="R90" s="8" t="e">
        <f t="shared" si="19"/>
        <v>#DIV/0!</v>
      </c>
      <c r="S90" s="8" t="e">
        <f t="shared" si="20"/>
        <v>#DIV/0!</v>
      </c>
      <c r="T90">
        <v>0</v>
      </c>
      <c r="U90">
        <v>0</v>
      </c>
      <c r="V90">
        <f t="shared" si="21"/>
        <v>0</v>
      </c>
      <c r="W90">
        <f t="shared" si="22"/>
        <v>0</v>
      </c>
      <c r="X90" t="s">
        <v>110</v>
      </c>
      <c r="AB90">
        <v>0</v>
      </c>
      <c r="AC90">
        <v>0</v>
      </c>
      <c r="AD90">
        <v>0</v>
      </c>
      <c r="AE90" s="3" t="s">
        <v>135</v>
      </c>
      <c r="AF90">
        <v>1</v>
      </c>
      <c r="AG90">
        <v>1</v>
      </c>
      <c r="AH90">
        <v>0.2</v>
      </c>
      <c r="AI90" s="24"/>
      <c r="AJ90">
        <v>89</v>
      </c>
    </row>
    <row r="91" spans="1:36" x14ac:dyDescent="0.2">
      <c r="A91">
        <f t="shared" si="15"/>
        <v>90</v>
      </c>
      <c r="B91">
        <v>3363</v>
      </c>
      <c r="C91">
        <v>3363</v>
      </c>
      <c r="D91">
        <v>0</v>
      </c>
      <c r="E91" t="s">
        <v>106</v>
      </c>
      <c r="F91" t="s">
        <v>111</v>
      </c>
      <c r="G91" t="str">
        <f t="shared" si="16"/>
        <v xml:space="preserve">Epidote </v>
      </c>
      <c r="H91">
        <v>3363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 s="7">
        <v>0</v>
      </c>
      <c r="P91" s="8" t="e">
        <f t="shared" si="17"/>
        <v>#DIV/0!</v>
      </c>
      <c r="Q91" s="8" t="e">
        <f t="shared" si="18"/>
        <v>#DIV/0!</v>
      </c>
      <c r="R91" s="8" t="e">
        <f t="shared" si="19"/>
        <v>#DIV/0!</v>
      </c>
      <c r="S91" s="8" t="e">
        <f t="shared" si="20"/>
        <v>#DIV/0!</v>
      </c>
      <c r="T91">
        <v>3340</v>
      </c>
      <c r="U91">
        <v>3380</v>
      </c>
      <c r="V91">
        <f t="shared" si="21"/>
        <v>-23</v>
      </c>
      <c r="W91">
        <f t="shared" si="22"/>
        <v>17</v>
      </c>
      <c r="X91" t="s">
        <v>111</v>
      </c>
      <c r="AB91">
        <v>0</v>
      </c>
      <c r="AC91">
        <v>0</v>
      </c>
      <c r="AD91">
        <v>0</v>
      </c>
      <c r="AE91" s="3" t="s">
        <v>135</v>
      </c>
      <c r="AF91">
        <v>1</v>
      </c>
      <c r="AG91">
        <v>1</v>
      </c>
      <c r="AH91">
        <v>0.2</v>
      </c>
      <c r="AI91" s="24"/>
      <c r="AJ91">
        <v>90</v>
      </c>
    </row>
    <row r="92" spans="1:36" x14ac:dyDescent="0.2">
      <c r="A92">
        <f t="shared" si="15"/>
        <v>91</v>
      </c>
      <c r="B92">
        <v>3157</v>
      </c>
      <c r="C92">
        <v>3157</v>
      </c>
      <c r="D92">
        <v>0</v>
      </c>
      <c r="E92" t="s">
        <v>106</v>
      </c>
      <c r="F92" t="s">
        <v>125</v>
      </c>
      <c r="G92" t="str">
        <f t="shared" si="16"/>
        <v xml:space="preserve">Zoisite </v>
      </c>
      <c r="H92">
        <v>3157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s="7">
        <v>0</v>
      </c>
      <c r="P92" s="8" t="e">
        <f t="shared" si="17"/>
        <v>#DIV/0!</v>
      </c>
      <c r="Q92" s="8" t="e">
        <f t="shared" si="18"/>
        <v>#DIV/0!</v>
      </c>
      <c r="R92" s="8" t="e">
        <f t="shared" si="19"/>
        <v>#DIV/0!</v>
      </c>
      <c r="S92" s="8" t="e">
        <f t="shared" si="20"/>
        <v>#DIV/0!</v>
      </c>
      <c r="T92">
        <v>3147</v>
      </c>
      <c r="U92">
        <v>3167</v>
      </c>
      <c r="V92">
        <f t="shared" si="21"/>
        <v>-10</v>
      </c>
      <c r="W92">
        <f t="shared" si="22"/>
        <v>10</v>
      </c>
      <c r="X92" t="s">
        <v>125</v>
      </c>
      <c r="AB92">
        <v>0</v>
      </c>
      <c r="AC92">
        <v>0</v>
      </c>
      <c r="AD92">
        <v>0</v>
      </c>
      <c r="AE92" s="3" t="s">
        <v>135</v>
      </c>
      <c r="AF92">
        <v>1</v>
      </c>
      <c r="AG92">
        <v>1</v>
      </c>
      <c r="AH92">
        <v>0.2</v>
      </c>
      <c r="AI92" s="24"/>
      <c r="AJ92">
        <v>91</v>
      </c>
    </row>
    <row r="93" spans="1:36" x14ac:dyDescent="0.2">
      <c r="A93">
        <f t="shared" si="15"/>
        <v>92</v>
      </c>
      <c r="B93">
        <v>0</v>
      </c>
      <c r="C93">
        <v>0</v>
      </c>
      <c r="D93">
        <v>0</v>
      </c>
      <c r="E93" t="s">
        <v>124</v>
      </c>
      <c r="F93" t="s">
        <v>130</v>
      </c>
      <c r="G93" t="s">
        <v>126</v>
      </c>
      <c r="H93" s="5"/>
      <c r="I93" s="6" t="s">
        <v>127</v>
      </c>
      <c r="K93">
        <v>100</v>
      </c>
      <c r="L93">
        <v>100</v>
      </c>
      <c r="M93">
        <v>100</v>
      </c>
      <c r="N93">
        <v>3.74</v>
      </c>
      <c r="O93" s="7">
        <v>1</v>
      </c>
      <c r="P93" s="8" t="e">
        <f t="shared" si="17"/>
        <v>#VALUE!</v>
      </c>
      <c r="Q93" s="8" t="e">
        <f t="shared" si="18"/>
        <v>#VALUE!</v>
      </c>
      <c r="R93" s="8" t="e">
        <f t="shared" si="19"/>
        <v>#VALUE!</v>
      </c>
      <c r="S93" s="8" t="e">
        <f t="shared" si="20"/>
        <v>#VALUE!</v>
      </c>
      <c r="T93">
        <v>0</v>
      </c>
      <c r="U93">
        <v>0</v>
      </c>
      <c r="V93">
        <f t="shared" ref="V93:V106" si="23">IF(T93=0,0,-(B93-T93))</f>
        <v>0</v>
      </c>
      <c r="W93">
        <f t="shared" ref="W93:W106" si="24">IF(U93=0,0,(U93-B93))</f>
        <v>0</v>
      </c>
      <c r="X93" s="6" t="s">
        <v>128</v>
      </c>
      <c r="Y93" s="4" t="s">
        <v>129</v>
      </c>
      <c r="AB93">
        <v>0</v>
      </c>
      <c r="AC93">
        <v>0</v>
      </c>
      <c r="AD93">
        <v>0</v>
      </c>
      <c r="AE93" s="3" t="s">
        <v>135</v>
      </c>
      <c r="AF93">
        <v>1</v>
      </c>
      <c r="AG93">
        <v>1</v>
      </c>
      <c r="AH93">
        <v>0.2</v>
      </c>
      <c r="AI93" s="24"/>
      <c r="AJ93">
        <v>92</v>
      </c>
    </row>
    <row r="94" spans="1:36" x14ac:dyDescent="0.2">
      <c r="A94">
        <f t="shared" si="15"/>
        <v>93</v>
      </c>
      <c r="B94">
        <v>0</v>
      </c>
      <c r="C94">
        <v>0</v>
      </c>
      <c r="D94">
        <v>0</v>
      </c>
      <c r="E94" t="s">
        <v>124</v>
      </c>
      <c r="F94" t="s">
        <v>132</v>
      </c>
      <c r="G94" t="s">
        <v>126</v>
      </c>
      <c r="H94" s="5"/>
      <c r="I94" s="6" t="s">
        <v>127</v>
      </c>
      <c r="K94">
        <v>100</v>
      </c>
      <c r="L94">
        <v>100</v>
      </c>
      <c r="M94">
        <v>100</v>
      </c>
      <c r="N94">
        <v>3.6</v>
      </c>
      <c r="O94" s="7">
        <v>1</v>
      </c>
      <c r="P94" s="8" t="e">
        <f t="shared" si="17"/>
        <v>#VALUE!</v>
      </c>
      <c r="Q94" s="8" t="e">
        <f t="shared" si="18"/>
        <v>#VALUE!</v>
      </c>
      <c r="R94" s="8" t="e">
        <f t="shared" si="19"/>
        <v>#VALUE!</v>
      </c>
      <c r="S94" s="8" t="e">
        <f t="shared" si="20"/>
        <v>#VALUE!</v>
      </c>
      <c r="T94">
        <v>0</v>
      </c>
      <c r="U94">
        <v>0</v>
      </c>
      <c r="V94">
        <f t="shared" si="23"/>
        <v>0</v>
      </c>
      <c r="W94">
        <f t="shared" si="24"/>
        <v>0</v>
      </c>
      <c r="X94" s="6" t="s">
        <v>128</v>
      </c>
      <c r="Y94" s="4" t="s">
        <v>129</v>
      </c>
      <c r="AB94">
        <v>0</v>
      </c>
      <c r="AC94">
        <v>0</v>
      </c>
      <c r="AD94">
        <v>0</v>
      </c>
      <c r="AE94" s="3" t="s">
        <v>135</v>
      </c>
      <c r="AF94">
        <v>1</v>
      </c>
      <c r="AG94">
        <v>1</v>
      </c>
      <c r="AH94">
        <v>0.2</v>
      </c>
      <c r="AI94" s="24"/>
      <c r="AJ94">
        <v>93</v>
      </c>
    </row>
    <row r="95" spans="1:36" x14ac:dyDescent="0.2">
      <c r="A95">
        <f t="shared" si="15"/>
        <v>94</v>
      </c>
      <c r="B95">
        <v>0</v>
      </c>
      <c r="C95">
        <v>0</v>
      </c>
      <c r="D95">
        <v>0</v>
      </c>
      <c r="E95" t="s">
        <v>124</v>
      </c>
      <c r="F95" t="s">
        <v>131</v>
      </c>
      <c r="G95" t="s">
        <v>126</v>
      </c>
      <c r="H95" s="5"/>
      <c r="I95" s="6" t="s">
        <v>127</v>
      </c>
      <c r="K95">
        <v>100</v>
      </c>
      <c r="L95">
        <v>100</v>
      </c>
      <c r="M95">
        <v>100</v>
      </c>
      <c r="N95">
        <v>3.6</v>
      </c>
      <c r="O95" s="7">
        <v>1</v>
      </c>
      <c r="P95" s="8" t="e">
        <f t="shared" si="17"/>
        <v>#VALUE!</v>
      </c>
      <c r="Q95" s="8" t="e">
        <f t="shared" si="18"/>
        <v>#VALUE!</v>
      </c>
      <c r="R95" s="8" t="e">
        <f t="shared" si="19"/>
        <v>#VALUE!</v>
      </c>
      <c r="S95" s="8" t="e">
        <f t="shared" si="20"/>
        <v>#VALUE!</v>
      </c>
      <c r="T95">
        <v>0</v>
      </c>
      <c r="U95">
        <v>0</v>
      </c>
      <c r="V95">
        <f t="shared" si="23"/>
        <v>0</v>
      </c>
      <c r="W95">
        <f t="shared" si="24"/>
        <v>0</v>
      </c>
      <c r="X95" s="6" t="s">
        <v>128</v>
      </c>
      <c r="Y95" s="4" t="s">
        <v>129</v>
      </c>
      <c r="AB95">
        <v>0</v>
      </c>
      <c r="AC95">
        <v>0</v>
      </c>
      <c r="AD95">
        <v>0</v>
      </c>
      <c r="AE95" s="3" t="s">
        <v>135</v>
      </c>
      <c r="AF95">
        <v>1</v>
      </c>
      <c r="AG95">
        <v>1</v>
      </c>
      <c r="AH95">
        <v>0.2</v>
      </c>
      <c r="AI95" s="24"/>
      <c r="AJ95">
        <v>94</v>
      </c>
    </row>
    <row r="96" spans="1:36" x14ac:dyDescent="0.2">
      <c r="A96">
        <f t="shared" si="15"/>
        <v>95</v>
      </c>
      <c r="B96" s="9">
        <v>3651</v>
      </c>
      <c r="C96" s="9">
        <v>3651</v>
      </c>
      <c r="D96">
        <v>0</v>
      </c>
      <c r="E96" t="s">
        <v>124</v>
      </c>
      <c r="F96" t="s">
        <v>136</v>
      </c>
      <c r="G96" t="str">
        <f t="shared" ref="G96:G106" si="25">"Peak "&amp; C96</f>
        <v>Peak 3651</v>
      </c>
      <c r="H96" s="5"/>
      <c r="I96" s="6">
        <v>4880</v>
      </c>
      <c r="K96">
        <v>100</v>
      </c>
      <c r="L96">
        <v>100</v>
      </c>
      <c r="M96">
        <v>100</v>
      </c>
      <c r="N96">
        <v>4.0999999999999996</v>
      </c>
      <c r="O96" s="7">
        <v>1</v>
      </c>
      <c r="P96" s="8">
        <f t="shared" si="17"/>
        <v>0.90040383846461414</v>
      </c>
      <c r="Q96" s="8">
        <f t="shared" si="18"/>
        <v>0.90040383846461414</v>
      </c>
      <c r="R96" s="8">
        <f t="shared" si="19"/>
        <v>0.90040383846461414</v>
      </c>
      <c r="S96" s="8">
        <f t="shared" si="20"/>
        <v>0.90040383846461414</v>
      </c>
      <c r="T96">
        <v>0</v>
      </c>
      <c r="U96">
        <v>0</v>
      </c>
      <c r="V96">
        <f t="shared" si="23"/>
        <v>0</v>
      </c>
      <c r="W96">
        <f t="shared" si="24"/>
        <v>0</v>
      </c>
      <c r="X96" s="6" t="s">
        <v>128</v>
      </c>
      <c r="Y96" s="4" t="s">
        <v>129</v>
      </c>
      <c r="AB96">
        <v>7.4499999999999997E-2</v>
      </c>
      <c r="AC96">
        <v>0.62350000000000005</v>
      </c>
      <c r="AD96">
        <v>1</v>
      </c>
      <c r="AE96" s="3" t="s">
        <v>135</v>
      </c>
      <c r="AF96">
        <v>1</v>
      </c>
      <c r="AG96">
        <v>1</v>
      </c>
      <c r="AH96">
        <v>0.2</v>
      </c>
      <c r="AI96" s="35"/>
      <c r="AJ96">
        <v>95</v>
      </c>
    </row>
    <row r="97" spans="1:36" x14ac:dyDescent="0.2">
      <c r="A97">
        <f t="shared" si="15"/>
        <v>96</v>
      </c>
      <c r="B97" s="9">
        <v>3621</v>
      </c>
      <c r="C97" s="9">
        <v>3621</v>
      </c>
      <c r="D97">
        <v>0</v>
      </c>
      <c r="E97" t="s">
        <v>124</v>
      </c>
      <c r="F97" t="s">
        <v>136</v>
      </c>
      <c r="G97" t="str">
        <f t="shared" si="25"/>
        <v>Peak 3621</v>
      </c>
      <c r="H97" s="5"/>
      <c r="I97" s="6">
        <v>4880</v>
      </c>
      <c r="K97">
        <v>100</v>
      </c>
      <c r="L97">
        <v>100</v>
      </c>
      <c r="M97">
        <v>100</v>
      </c>
      <c r="N97">
        <v>4.0999999999999996</v>
      </c>
      <c r="O97" s="7">
        <v>1</v>
      </c>
      <c r="P97" s="8">
        <f t="shared" si="17"/>
        <v>0.90040383846461414</v>
      </c>
      <c r="Q97" s="8">
        <f t="shared" si="18"/>
        <v>0.90040383846461414</v>
      </c>
      <c r="R97" s="8">
        <f t="shared" si="19"/>
        <v>0.90040383846461414</v>
      </c>
      <c r="S97" s="8">
        <f t="shared" si="20"/>
        <v>0.90040383846461414</v>
      </c>
      <c r="T97">
        <v>0</v>
      </c>
      <c r="U97">
        <v>0</v>
      </c>
      <c r="V97">
        <f t="shared" si="23"/>
        <v>0</v>
      </c>
      <c r="W97">
        <f t="shared" si="24"/>
        <v>0</v>
      </c>
      <c r="X97" s="6" t="s">
        <v>128</v>
      </c>
      <c r="Y97" s="4" t="s">
        <v>129</v>
      </c>
      <c r="AB97">
        <v>1</v>
      </c>
      <c r="AC97">
        <v>0</v>
      </c>
      <c r="AD97">
        <v>0</v>
      </c>
      <c r="AE97" s="3" t="s">
        <v>135</v>
      </c>
      <c r="AF97">
        <v>1</v>
      </c>
      <c r="AG97">
        <v>1</v>
      </c>
      <c r="AH97">
        <v>0.2</v>
      </c>
      <c r="AI97" s="11"/>
      <c r="AJ97">
        <v>96</v>
      </c>
    </row>
    <row r="98" spans="1:36" x14ac:dyDescent="0.2">
      <c r="A98">
        <f t="shared" si="15"/>
        <v>97</v>
      </c>
      <c r="B98" s="9">
        <v>3600</v>
      </c>
      <c r="C98" s="9">
        <v>3600</v>
      </c>
      <c r="D98">
        <v>0</v>
      </c>
      <c r="E98" t="s">
        <v>124</v>
      </c>
      <c r="F98" t="s">
        <v>136</v>
      </c>
      <c r="G98" t="str">
        <f t="shared" si="25"/>
        <v>Peak 3600</v>
      </c>
      <c r="H98" s="5"/>
      <c r="I98" s="6">
        <v>4880</v>
      </c>
      <c r="K98">
        <v>100</v>
      </c>
      <c r="L98">
        <v>100</v>
      </c>
      <c r="M98">
        <v>100</v>
      </c>
      <c r="N98">
        <v>4.0999999999999996</v>
      </c>
      <c r="O98" s="7">
        <v>1</v>
      </c>
      <c r="P98" s="8">
        <f t="shared" si="17"/>
        <v>0.90040383846461414</v>
      </c>
      <c r="Q98" s="8">
        <f t="shared" si="18"/>
        <v>0.90040383846461414</v>
      </c>
      <c r="R98" s="8">
        <f t="shared" si="19"/>
        <v>0.90040383846461414</v>
      </c>
      <c r="S98" s="8">
        <f t="shared" si="20"/>
        <v>0.90040383846461414</v>
      </c>
      <c r="T98">
        <v>0</v>
      </c>
      <c r="U98">
        <v>0</v>
      </c>
      <c r="V98">
        <f t="shared" si="23"/>
        <v>0</v>
      </c>
      <c r="W98">
        <f t="shared" si="24"/>
        <v>0</v>
      </c>
      <c r="X98" s="6" t="s">
        <v>128</v>
      </c>
      <c r="Y98" s="4" t="s">
        <v>129</v>
      </c>
      <c r="AB98">
        <v>0</v>
      </c>
      <c r="AC98">
        <v>1</v>
      </c>
      <c r="AD98">
        <v>0</v>
      </c>
      <c r="AE98" s="3" t="s">
        <v>135</v>
      </c>
      <c r="AF98">
        <v>1</v>
      </c>
      <c r="AG98">
        <v>1</v>
      </c>
      <c r="AH98">
        <v>0.2</v>
      </c>
      <c r="AI98" s="27"/>
      <c r="AJ98">
        <v>97</v>
      </c>
    </row>
    <row r="99" spans="1:36" x14ac:dyDescent="0.2">
      <c r="A99">
        <f t="shared" si="15"/>
        <v>98</v>
      </c>
      <c r="B99" s="9">
        <v>3560</v>
      </c>
      <c r="C99" s="9">
        <v>3560</v>
      </c>
      <c r="D99">
        <v>0</v>
      </c>
      <c r="E99" t="s">
        <v>124</v>
      </c>
      <c r="F99" t="s">
        <v>136</v>
      </c>
      <c r="G99" t="str">
        <f t="shared" si="25"/>
        <v>Peak 3560</v>
      </c>
      <c r="H99" s="5"/>
      <c r="I99" s="6">
        <v>4880</v>
      </c>
      <c r="K99">
        <v>100</v>
      </c>
      <c r="L99">
        <v>100</v>
      </c>
      <c r="M99">
        <v>100</v>
      </c>
      <c r="N99">
        <v>4.0999999999999996</v>
      </c>
      <c r="O99" s="7">
        <v>1</v>
      </c>
      <c r="P99" s="8">
        <f t="shared" si="17"/>
        <v>0.90040383846461414</v>
      </c>
      <c r="Q99" s="8">
        <f t="shared" si="18"/>
        <v>0.90040383846461414</v>
      </c>
      <c r="R99" s="8">
        <f t="shared" si="19"/>
        <v>0.90040383846461414</v>
      </c>
      <c r="S99" s="8">
        <f t="shared" si="20"/>
        <v>0.90040383846461414</v>
      </c>
      <c r="T99">
        <v>0</v>
      </c>
      <c r="U99">
        <v>0</v>
      </c>
      <c r="V99">
        <f t="shared" si="23"/>
        <v>0</v>
      </c>
      <c r="W99">
        <f t="shared" si="24"/>
        <v>0</v>
      </c>
      <c r="X99" s="6" t="s">
        <v>128</v>
      </c>
      <c r="Y99" s="4" t="s">
        <v>129</v>
      </c>
      <c r="AB99">
        <v>0.9294</v>
      </c>
      <c r="AC99">
        <v>0.69410000000000005</v>
      </c>
      <c r="AD99">
        <v>0.1255</v>
      </c>
      <c r="AE99" s="3" t="s">
        <v>135</v>
      </c>
      <c r="AF99">
        <v>1</v>
      </c>
      <c r="AG99">
        <v>1</v>
      </c>
      <c r="AH99">
        <v>0.2</v>
      </c>
      <c r="AI99" s="36"/>
      <c r="AJ99">
        <v>98</v>
      </c>
    </row>
    <row r="100" spans="1:36" x14ac:dyDescent="0.2">
      <c r="A100">
        <f t="shared" si="15"/>
        <v>99</v>
      </c>
      <c r="B100" s="9">
        <v>3537</v>
      </c>
      <c r="C100" s="9">
        <v>3537</v>
      </c>
      <c r="D100">
        <v>0</v>
      </c>
      <c r="E100" t="s">
        <v>124</v>
      </c>
      <c r="F100" t="s">
        <v>136</v>
      </c>
      <c r="G100" t="str">
        <f t="shared" si="25"/>
        <v>Peak 3537</v>
      </c>
      <c r="H100" s="5"/>
      <c r="I100" s="6">
        <v>4880</v>
      </c>
      <c r="K100">
        <v>100</v>
      </c>
      <c r="L100">
        <v>100</v>
      </c>
      <c r="M100">
        <v>100</v>
      </c>
      <c r="N100">
        <v>4.0999999999999996</v>
      </c>
      <c r="O100" s="7">
        <v>1</v>
      </c>
      <c r="P100" s="8">
        <f t="shared" si="17"/>
        <v>0.90040383846461414</v>
      </c>
      <c r="Q100" s="8">
        <f t="shared" si="18"/>
        <v>0.90040383846461414</v>
      </c>
      <c r="R100" s="8">
        <f t="shared" si="19"/>
        <v>0.90040383846461414</v>
      </c>
      <c r="S100" s="8">
        <f t="shared" si="20"/>
        <v>0.90040383846461414</v>
      </c>
      <c r="T100">
        <v>0</v>
      </c>
      <c r="U100">
        <v>0</v>
      </c>
      <c r="V100">
        <f t="shared" si="23"/>
        <v>0</v>
      </c>
      <c r="W100">
        <f t="shared" si="24"/>
        <v>0</v>
      </c>
      <c r="X100" s="6" t="s">
        <v>128</v>
      </c>
      <c r="Y100" s="4" t="s">
        <v>129</v>
      </c>
      <c r="AB100">
        <v>0</v>
      </c>
      <c r="AC100">
        <v>0</v>
      </c>
      <c r="AD100">
        <v>0</v>
      </c>
      <c r="AE100" s="3" t="s">
        <v>135</v>
      </c>
      <c r="AF100">
        <v>1</v>
      </c>
      <c r="AG100">
        <v>1</v>
      </c>
      <c r="AH100">
        <v>0.2</v>
      </c>
      <c r="AI100" s="24"/>
      <c r="AJ100">
        <v>99</v>
      </c>
    </row>
    <row r="101" spans="1:36" x14ac:dyDescent="0.2">
      <c r="A101">
        <f t="shared" si="15"/>
        <v>100</v>
      </c>
      <c r="B101" s="9">
        <v>3500</v>
      </c>
      <c r="C101" s="9">
        <v>3500</v>
      </c>
      <c r="D101">
        <v>0</v>
      </c>
      <c r="E101" t="s">
        <v>124</v>
      </c>
      <c r="F101" t="s">
        <v>136</v>
      </c>
      <c r="G101" t="str">
        <f t="shared" si="25"/>
        <v>Peak 3500</v>
      </c>
      <c r="H101" s="5"/>
      <c r="I101" s="6">
        <v>4880</v>
      </c>
      <c r="K101">
        <v>100</v>
      </c>
      <c r="L101">
        <v>100</v>
      </c>
      <c r="M101">
        <v>100</v>
      </c>
      <c r="N101">
        <v>4.0999999999999996</v>
      </c>
      <c r="O101" s="7">
        <v>1</v>
      </c>
      <c r="P101" s="8">
        <f t="shared" si="17"/>
        <v>0.90040383846461414</v>
      </c>
      <c r="Q101" s="8">
        <f t="shared" si="18"/>
        <v>0.90040383846461414</v>
      </c>
      <c r="R101" s="8">
        <f t="shared" si="19"/>
        <v>0.90040383846461414</v>
      </c>
      <c r="S101" s="8">
        <f t="shared" si="20"/>
        <v>0.90040383846461414</v>
      </c>
      <c r="T101">
        <v>0</v>
      </c>
      <c r="U101">
        <v>0</v>
      </c>
      <c r="V101">
        <f t="shared" si="23"/>
        <v>0</v>
      </c>
      <c r="W101">
        <f t="shared" si="24"/>
        <v>0</v>
      </c>
      <c r="X101" s="6" t="s">
        <v>128</v>
      </c>
      <c r="Y101" s="4" t="s">
        <v>129</v>
      </c>
      <c r="AB101">
        <v>0</v>
      </c>
      <c r="AC101">
        <v>0</v>
      </c>
      <c r="AD101">
        <v>0</v>
      </c>
      <c r="AE101" s="3" t="s">
        <v>135</v>
      </c>
      <c r="AF101">
        <v>1</v>
      </c>
      <c r="AG101">
        <v>1</v>
      </c>
      <c r="AH101">
        <v>0.2</v>
      </c>
      <c r="AI101" s="24"/>
      <c r="AJ101">
        <v>100</v>
      </c>
    </row>
    <row r="102" spans="1:36" x14ac:dyDescent="0.2">
      <c r="A102">
        <f t="shared" si="15"/>
        <v>101</v>
      </c>
      <c r="B102">
        <v>3645</v>
      </c>
      <c r="C102">
        <v>3645</v>
      </c>
      <c r="D102">
        <v>0</v>
      </c>
      <c r="E102" t="s">
        <v>124</v>
      </c>
      <c r="F102" t="s">
        <v>137</v>
      </c>
      <c r="G102" t="str">
        <f t="shared" si="25"/>
        <v>Peak 3645</v>
      </c>
      <c r="H102" s="5"/>
      <c r="I102" s="6">
        <v>4880</v>
      </c>
      <c r="K102">
        <v>100</v>
      </c>
      <c r="L102">
        <v>100</v>
      </c>
      <c r="M102">
        <v>100</v>
      </c>
      <c r="N102">
        <v>4.0999999999999996</v>
      </c>
      <c r="O102" s="7">
        <v>1</v>
      </c>
      <c r="P102" s="8">
        <f t="shared" si="17"/>
        <v>0.90040383846461414</v>
      </c>
      <c r="Q102" s="8">
        <f t="shared" si="18"/>
        <v>0.90040383846461414</v>
      </c>
      <c r="R102" s="8">
        <f t="shared" si="19"/>
        <v>0.90040383846461414</v>
      </c>
      <c r="S102" s="8">
        <f t="shared" si="20"/>
        <v>0.90040383846461414</v>
      </c>
      <c r="T102">
        <v>0</v>
      </c>
      <c r="U102">
        <v>0</v>
      </c>
      <c r="V102">
        <f t="shared" si="23"/>
        <v>0</v>
      </c>
      <c r="W102">
        <f t="shared" si="24"/>
        <v>0</v>
      </c>
      <c r="X102" s="6" t="s">
        <v>128</v>
      </c>
      <c r="Y102" s="4" t="s">
        <v>129</v>
      </c>
      <c r="AB102">
        <v>7.4499999999999997E-2</v>
      </c>
      <c r="AC102">
        <v>0.62350000000000005</v>
      </c>
      <c r="AD102">
        <v>1</v>
      </c>
      <c r="AE102" s="3" t="s">
        <v>135</v>
      </c>
      <c r="AF102">
        <v>1</v>
      </c>
      <c r="AG102">
        <v>1</v>
      </c>
      <c r="AH102">
        <v>0.2</v>
      </c>
      <c r="AI102" s="35"/>
      <c r="AJ102">
        <v>101</v>
      </c>
    </row>
    <row r="103" spans="1:36" x14ac:dyDescent="0.2">
      <c r="A103">
        <f t="shared" si="15"/>
        <v>102</v>
      </c>
      <c r="B103">
        <v>3587</v>
      </c>
      <c r="C103">
        <v>3587</v>
      </c>
      <c r="D103">
        <v>0</v>
      </c>
      <c r="E103" t="s">
        <v>124</v>
      </c>
      <c r="F103" t="s">
        <v>137</v>
      </c>
      <c r="G103" t="str">
        <f t="shared" si="25"/>
        <v>Peak 3587</v>
      </c>
      <c r="H103" s="5"/>
      <c r="I103" s="6">
        <v>4880</v>
      </c>
      <c r="K103">
        <v>100</v>
      </c>
      <c r="L103">
        <v>100</v>
      </c>
      <c r="M103">
        <v>100</v>
      </c>
      <c r="N103">
        <v>4.0999999999999996</v>
      </c>
      <c r="O103" s="7">
        <v>1</v>
      </c>
      <c r="P103" s="8">
        <f t="shared" si="17"/>
        <v>0.90040383846461414</v>
      </c>
      <c r="Q103" s="8">
        <f t="shared" si="18"/>
        <v>0.90040383846461414</v>
      </c>
      <c r="R103" s="8">
        <f t="shared" si="19"/>
        <v>0.90040383846461414</v>
      </c>
      <c r="S103" s="8">
        <f t="shared" si="20"/>
        <v>0.90040383846461414</v>
      </c>
      <c r="T103">
        <v>0</v>
      </c>
      <c r="U103">
        <v>0</v>
      </c>
      <c r="V103">
        <f t="shared" si="23"/>
        <v>0</v>
      </c>
      <c r="W103">
        <f t="shared" si="24"/>
        <v>0</v>
      </c>
      <c r="X103" s="6" t="s">
        <v>128</v>
      </c>
      <c r="Y103" s="4" t="s">
        <v>129</v>
      </c>
      <c r="AB103">
        <v>0</v>
      </c>
      <c r="AC103">
        <v>1</v>
      </c>
      <c r="AD103">
        <v>0</v>
      </c>
      <c r="AE103" s="3" t="s">
        <v>135</v>
      </c>
      <c r="AF103">
        <v>1</v>
      </c>
      <c r="AG103">
        <v>1</v>
      </c>
      <c r="AH103">
        <v>0.2</v>
      </c>
      <c r="AI103" s="27"/>
      <c r="AJ103">
        <v>102</v>
      </c>
    </row>
    <row r="104" spans="1:36" x14ac:dyDescent="0.2">
      <c r="A104">
        <f t="shared" si="15"/>
        <v>103</v>
      </c>
      <c r="B104">
        <v>3555</v>
      </c>
      <c r="C104">
        <v>3555</v>
      </c>
      <c r="D104">
        <v>0</v>
      </c>
      <c r="E104" t="s">
        <v>124</v>
      </c>
      <c r="F104" t="s">
        <v>137</v>
      </c>
      <c r="G104" t="str">
        <f t="shared" si="25"/>
        <v>Peak 3555</v>
      </c>
      <c r="H104" s="5"/>
      <c r="I104" s="6">
        <v>4880</v>
      </c>
      <c r="K104">
        <v>100</v>
      </c>
      <c r="L104">
        <v>100</v>
      </c>
      <c r="M104">
        <v>100</v>
      </c>
      <c r="N104">
        <v>4.0999999999999996</v>
      </c>
      <c r="O104" s="7">
        <v>1</v>
      </c>
      <c r="P104" s="8">
        <f t="shared" si="17"/>
        <v>0.90040383846461414</v>
      </c>
      <c r="Q104" s="8">
        <f t="shared" si="18"/>
        <v>0.90040383846461414</v>
      </c>
      <c r="R104" s="8">
        <f t="shared" si="19"/>
        <v>0.90040383846461414</v>
      </c>
      <c r="S104" s="8">
        <f t="shared" si="20"/>
        <v>0.90040383846461414</v>
      </c>
      <c r="T104">
        <v>0</v>
      </c>
      <c r="U104">
        <v>0</v>
      </c>
      <c r="V104">
        <f t="shared" si="23"/>
        <v>0</v>
      </c>
      <c r="W104">
        <f t="shared" si="24"/>
        <v>0</v>
      </c>
      <c r="X104" s="6" t="s">
        <v>128</v>
      </c>
      <c r="Y104" s="4" t="s">
        <v>129</v>
      </c>
      <c r="AB104">
        <v>0.9294</v>
      </c>
      <c r="AC104">
        <v>0.69410000000000005</v>
      </c>
      <c r="AD104">
        <v>0.1255</v>
      </c>
      <c r="AE104" s="3" t="s">
        <v>135</v>
      </c>
      <c r="AF104">
        <v>1</v>
      </c>
      <c r="AG104">
        <v>1</v>
      </c>
      <c r="AH104">
        <v>0.2</v>
      </c>
      <c r="AI104" s="36"/>
      <c r="AJ104">
        <v>103</v>
      </c>
    </row>
    <row r="105" spans="1:36" x14ac:dyDescent="0.2">
      <c r="A105">
        <f t="shared" si="15"/>
        <v>104</v>
      </c>
      <c r="B105">
        <v>3531</v>
      </c>
      <c r="C105">
        <v>3531</v>
      </c>
      <c r="D105">
        <v>0</v>
      </c>
      <c r="E105" t="s">
        <v>124</v>
      </c>
      <c r="F105" t="s">
        <v>137</v>
      </c>
      <c r="G105" t="str">
        <f t="shared" si="25"/>
        <v>Peak 3531</v>
      </c>
      <c r="H105" s="5"/>
      <c r="I105" s="6">
        <v>4880</v>
      </c>
      <c r="K105">
        <v>100</v>
      </c>
      <c r="L105">
        <v>100</v>
      </c>
      <c r="M105">
        <v>100</v>
      </c>
      <c r="N105">
        <v>4.0999999999999996</v>
      </c>
      <c r="O105" s="7">
        <v>1</v>
      </c>
      <c r="P105" s="8">
        <f t="shared" si="17"/>
        <v>0.90040383846461414</v>
      </c>
      <c r="Q105" s="8">
        <f t="shared" si="18"/>
        <v>0.90040383846461414</v>
      </c>
      <c r="R105" s="8">
        <f t="shared" si="19"/>
        <v>0.90040383846461414</v>
      </c>
      <c r="S105" s="8">
        <f t="shared" si="20"/>
        <v>0.90040383846461414</v>
      </c>
      <c r="T105">
        <v>0</v>
      </c>
      <c r="U105">
        <v>0</v>
      </c>
      <c r="V105">
        <f t="shared" si="23"/>
        <v>0</v>
      </c>
      <c r="W105">
        <f t="shared" si="24"/>
        <v>0</v>
      </c>
      <c r="X105" s="6" t="s">
        <v>128</v>
      </c>
      <c r="Y105" s="4" t="s">
        <v>129</v>
      </c>
      <c r="AB105">
        <v>0</v>
      </c>
      <c r="AC105">
        <v>0</v>
      </c>
      <c r="AD105">
        <v>0</v>
      </c>
      <c r="AE105" s="3" t="s">
        <v>135</v>
      </c>
      <c r="AF105">
        <v>1</v>
      </c>
      <c r="AG105">
        <v>1</v>
      </c>
      <c r="AH105">
        <v>0.2</v>
      </c>
      <c r="AI105" s="24"/>
      <c r="AJ105">
        <v>104</v>
      </c>
    </row>
    <row r="106" spans="1:36" x14ac:dyDescent="0.2">
      <c r="A106">
        <f t="shared" si="15"/>
        <v>105</v>
      </c>
      <c r="B106">
        <v>3502</v>
      </c>
      <c r="C106">
        <v>3502</v>
      </c>
      <c r="D106">
        <v>0</v>
      </c>
      <c r="E106" t="s">
        <v>124</v>
      </c>
      <c r="F106" t="s">
        <v>137</v>
      </c>
      <c r="G106" t="str">
        <f t="shared" si="25"/>
        <v>Peak 3502</v>
      </c>
      <c r="H106" s="5"/>
      <c r="I106" s="6">
        <v>4880</v>
      </c>
      <c r="K106">
        <v>100</v>
      </c>
      <c r="L106">
        <v>100</v>
      </c>
      <c r="M106">
        <v>100</v>
      </c>
      <c r="N106">
        <v>4.0999999999999996</v>
      </c>
      <c r="O106" s="7">
        <v>1</v>
      </c>
      <c r="P106" s="8">
        <f t="shared" si="17"/>
        <v>0.90040383846461414</v>
      </c>
      <c r="Q106" s="8">
        <f t="shared" si="18"/>
        <v>0.90040383846461414</v>
      </c>
      <c r="R106" s="8">
        <f t="shared" si="19"/>
        <v>0.90040383846461414</v>
      </c>
      <c r="S106" s="8">
        <f t="shared" si="20"/>
        <v>0.90040383846461414</v>
      </c>
      <c r="T106">
        <v>0</v>
      </c>
      <c r="U106">
        <v>0</v>
      </c>
      <c r="V106">
        <f t="shared" si="23"/>
        <v>0</v>
      </c>
      <c r="W106">
        <f t="shared" si="24"/>
        <v>0</v>
      </c>
      <c r="X106" s="6" t="s">
        <v>128</v>
      </c>
      <c r="Y106" s="4" t="s">
        <v>129</v>
      </c>
      <c r="AB106">
        <v>0</v>
      </c>
      <c r="AC106">
        <v>0</v>
      </c>
      <c r="AD106">
        <v>0</v>
      </c>
      <c r="AE106" s="3" t="s">
        <v>135</v>
      </c>
      <c r="AF106">
        <v>1</v>
      </c>
      <c r="AG106">
        <v>1</v>
      </c>
      <c r="AH106">
        <v>0.2</v>
      </c>
      <c r="AI106" s="24"/>
      <c r="AJ106">
        <v>105</v>
      </c>
    </row>
    <row r="107" spans="1:36" x14ac:dyDescent="0.2">
      <c r="A107">
        <f t="shared" si="15"/>
        <v>106</v>
      </c>
      <c r="B107">
        <v>0</v>
      </c>
      <c r="C107">
        <v>0</v>
      </c>
      <c r="D107">
        <v>0</v>
      </c>
      <c r="E107" t="s">
        <v>124</v>
      </c>
      <c r="F107" t="s">
        <v>193</v>
      </c>
      <c r="G107" t="s">
        <v>126</v>
      </c>
      <c r="I107" t="s">
        <v>127</v>
      </c>
      <c r="K107">
        <v>100</v>
      </c>
      <c r="L107">
        <v>100</v>
      </c>
      <c r="M107">
        <v>100</v>
      </c>
      <c r="N107">
        <v>4.0999999999999996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 t="s">
        <v>128</v>
      </c>
      <c r="Y107" t="s">
        <v>129</v>
      </c>
      <c r="AB107">
        <v>0</v>
      </c>
      <c r="AC107">
        <v>0</v>
      </c>
      <c r="AD107">
        <v>0</v>
      </c>
      <c r="AE107" t="s">
        <v>135</v>
      </c>
      <c r="AF107">
        <v>1</v>
      </c>
      <c r="AG107">
        <v>1</v>
      </c>
      <c r="AH107">
        <v>0.2</v>
      </c>
      <c r="AI107" s="24"/>
      <c r="AJ107">
        <v>106</v>
      </c>
    </row>
    <row r="108" spans="1:36" x14ac:dyDescent="0.2">
      <c r="A108">
        <f t="shared" si="15"/>
        <v>107</v>
      </c>
      <c r="B108">
        <v>3489</v>
      </c>
      <c r="C108">
        <v>3489</v>
      </c>
      <c r="D108">
        <v>0</v>
      </c>
      <c r="E108" t="s">
        <v>124</v>
      </c>
      <c r="F108" t="s">
        <v>137</v>
      </c>
      <c r="G108" t="str">
        <f>"Peak "&amp; C108</f>
        <v>Peak 3489</v>
      </c>
      <c r="H108" s="5"/>
      <c r="I108" s="6">
        <v>4880</v>
      </c>
      <c r="K108">
        <v>100</v>
      </c>
      <c r="L108">
        <v>100</v>
      </c>
      <c r="M108">
        <v>100</v>
      </c>
      <c r="N108">
        <v>4.0999999999999996</v>
      </c>
      <c r="O108" s="7">
        <v>1</v>
      </c>
      <c r="P108" s="8">
        <f t="shared" ref="P108:P126" si="26">(18.01528/($N108*$I108)*1000)</f>
        <v>0.90040383846461414</v>
      </c>
      <c r="Q108" s="8">
        <f t="shared" ref="Q108:Q149" si="27">(1/(K108/100))*$P108</f>
        <v>0.90040383846461414</v>
      </c>
      <c r="R108" s="8">
        <f t="shared" ref="R108:R149" si="28">(1/(L108/100))*$P108</f>
        <v>0.90040383846461414</v>
      </c>
      <c r="S108" s="8">
        <f t="shared" ref="S108:S149" si="29">(1/(M108/100))*$P108</f>
        <v>0.90040383846461414</v>
      </c>
      <c r="T108">
        <v>0</v>
      </c>
      <c r="U108">
        <v>0</v>
      </c>
      <c r="V108">
        <f t="shared" ref="V108:V149" si="30">IF(T108=0,0,-(B108-T108))</f>
        <v>0</v>
      </c>
      <c r="W108">
        <f t="shared" ref="W108:W149" si="31">IF(U108=0,0,(U108-B108))</f>
        <v>0</v>
      </c>
      <c r="X108" s="6" t="s">
        <v>128</v>
      </c>
      <c r="Y108" s="4" t="s">
        <v>129</v>
      </c>
      <c r="AB108">
        <v>0</v>
      </c>
      <c r="AC108">
        <v>0</v>
      </c>
      <c r="AD108">
        <v>1</v>
      </c>
      <c r="AE108" s="3" t="s">
        <v>135</v>
      </c>
      <c r="AF108">
        <v>1</v>
      </c>
      <c r="AG108">
        <v>1</v>
      </c>
      <c r="AH108">
        <v>0.2</v>
      </c>
      <c r="AI108" s="37"/>
      <c r="AJ108">
        <v>107</v>
      </c>
    </row>
    <row r="109" spans="1:36" x14ac:dyDescent="0.2">
      <c r="A109">
        <f t="shared" si="15"/>
        <v>108</v>
      </c>
      <c r="B109">
        <v>3570</v>
      </c>
      <c r="C109">
        <v>3570</v>
      </c>
      <c r="D109">
        <v>0</v>
      </c>
      <c r="E109" t="s">
        <v>138</v>
      </c>
      <c r="F109" t="s">
        <v>141</v>
      </c>
      <c r="G109" t="s">
        <v>139</v>
      </c>
      <c r="H109" s="5"/>
      <c r="I109" s="6">
        <v>28450</v>
      </c>
      <c r="K109">
        <v>100</v>
      </c>
      <c r="L109">
        <v>100</v>
      </c>
      <c r="M109">
        <v>100</v>
      </c>
      <c r="N109">
        <v>3.32</v>
      </c>
      <c r="O109" s="7">
        <v>1</v>
      </c>
      <c r="P109" s="8">
        <f t="shared" si="26"/>
        <v>0.19073072606771552</v>
      </c>
      <c r="Q109" s="8">
        <f t="shared" si="27"/>
        <v>0.19073072606771552</v>
      </c>
      <c r="R109" s="8">
        <f t="shared" si="28"/>
        <v>0.19073072606771552</v>
      </c>
      <c r="S109" s="8">
        <f t="shared" si="29"/>
        <v>0.19073072606771552</v>
      </c>
      <c r="T109">
        <v>0</v>
      </c>
      <c r="U109">
        <v>0</v>
      </c>
      <c r="V109">
        <f t="shared" si="30"/>
        <v>0</v>
      </c>
      <c r="W109">
        <f t="shared" si="31"/>
        <v>0</v>
      </c>
      <c r="X109" s="6" t="s">
        <v>128</v>
      </c>
      <c r="Y109" s="4" t="s">
        <v>129</v>
      </c>
      <c r="AB109">
        <v>0</v>
      </c>
      <c r="AC109">
        <v>0</v>
      </c>
      <c r="AD109">
        <v>0</v>
      </c>
      <c r="AE109" s="3" t="s">
        <v>135</v>
      </c>
      <c r="AF109">
        <v>1</v>
      </c>
      <c r="AG109">
        <v>1</v>
      </c>
      <c r="AH109">
        <v>0.2</v>
      </c>
      <c r="AI109" s="24"/>
      <c r="AJ109">
        <v>108</v>
      </c>
    </row>
    <row r="110" spans="1:36" x14ac:dyDescent="0.2">
      <c r="A110">
        <f t="shared" si="15"/>
        <v>109</v>
      </c>
      <c r="B110">
        <v>3525</v>
      </c>
      <c r="C110">
        <v>3525</v>
      </c>
      <c r="D110">
        <v>0</v>
      </c>
      <c r="E110" t="s">
        <v>138</v>
      </c>
      <c r="F110" t="s">
        <v>141</v>
      </c>
      <c r="G110" t="s">
        <v>140</v>
      </c>
      <c r="H110" s="5"/>
      <c r="I110" s="6">
        <v>28450</v>
      </c>
      <c r="K110">
        <v>100</v>
      </c>
      <c r="L110">
        <v>100</v>
      </c>
      <c r="M110">
        <v>100</v>
      </c>
      <c r="N110">
        <v>3.32</v>
      </c>
      <c r="O110" s="7">
        <v>1</v>
      </c>
      <c r="P110" s="8">
        <f t="shared" si="26"/>
        <v>0.19073072606771552</v>
      </c>
      <c r="Q110" s="8">
        <f t="shared" si="27"/>
        <v>0.19073072606771552</v>
      </c>
      <c r="R110" s="8">
        <f t="shared" si="28"/>
        <v>0.19073072606771552</v>
      </c>
      <c r="S110" s="8">
        <f t="shared" si="29"/>
        <v>0.19073072606771552</v>
      </c>
      <c r="T110">
        <v>0</v>
      </c>
      <c r="U110">
        <v>0</v>
      </c>
      <c r="V110">
        <f t="shared" si="30"/>
        <v>0</v>
      </c>
      <c r="W110">
        <f t="shared" si="31"/>
        <v>0</v>
      </c>
      <c r="X110" s="6" t="s">
        <v>128</v>
      </c>
      <c r="Y110" s="4" t="s">
        <v>129</v>
      </c>
      <c r="AB110">
        <v>0</v>
      </c>
      <c r="AC110">
        <v>0</v>
      </c>
      <c r="AD110">
        <v>0</v>
      </c>
      <c r="AE110" s="3" t="s">
        <v>135</v>
      </c>
      <c r="AF110">
        <v>1</v>
      </c>
      <c r="AG110">
        <v>1</v>
      </c>
      <c r="AH110">
        <v>0.2</v>
      </c>
      <c r="AI110" s="24"/>
      <c r="AJ110">
        <v>109</v>
      </c>
    </row>
    <row r="111" spans="1:36" x14ac:dyDescent="0.2">
      <c r="A111">
        <f t="shared" si="15"/>
        <v>110</v>
      </c>
      <c r="B111">
        <v>3354</v>
      </c>
      <c r="C111">
        <v>3354</v>
      </c>
      <c r="D111">
        <v>0</v>
      </c>
      <c r="E111" t="s">
        <v>138</v>
      </c>
      <c r="F111" t="s">
        <v>141</v>
      </c>
      <c r="G111" t="s">
        <v>142</v>
      </c>
      <c r="H111" s="5"/>
      <c r="I111" s="6">
        <v>28450</v>
      </c>
      <c r="K111">
        <v>100</v>
      </c>
      <c r="L111">
        <v>100</v>
      </c>
      <c r="M111">
        <v>100</v>
      </c>
      <c r="N111">
        <v>3.32</v>
      </c>
      <c r="O111" s="7">
        <v>1</v>
      </c>
      <c r="P111" s="8">
        <f t="shared" si="26"/>
        <v>0.19073072606771552</v>
      </c>
      <c r="Q111" s="8">
        <f t="shared" si="27"/>
        <v>0.19073072606771552</v>
      </c>
      <c r="R111" s="8">
        <f t="shared" si="28"/>
        <v>0.19073072606771552</v>
      </c>
      <c r="S111" s="8">
        <f t="shared" si="29"/>
        <v>0.19073072606771552</v>
      </c>
      <c r="T111">
        <v>0</v>
      </c>
      <c r="U111">
        <v>0</v>
      </c>
      <c r="V111">
        <f t="shared" si="30"/>
        <v>0</v>
      </c>
      <c r="W111">
        <f t="shared" si="31"/>
        <v>0</v>
      </c>
      <c r="X111" s="6" t="s">
        <v>128</v>
      </c>
      <c r="Y111" s="4" t="s">
        <v>129</v>
      </c>
      <c r="AB111">
        <v>0</v>
      </c>
      <c r="AC111">
        <v>0</v>
      </c>
      <c r="AD111">
        <v>0</v>
      </c>
      <c r="AE111" s="3" t="s">
        <v>135</v>
      </c>
      <c r="AF111">
        <v>1</v>
      </c>
      <c r="AG111">
        <v>1</v>
      </c>
      <c r="AH111">
        <v>0.2</v>
      </c>
      <c r="AI111" s="24"/>
      <c r="AJ111">
        <v>110</v>
      </c>
    </row>
    <row r="112" spans="1:36" x14ac:dyDescent="0.2">
      <c r="A112">
        <f t="shared" si="15"/>
        <v>111</v>
      </c>
      <c r="B112">
        <v>3612</v>
      </c>
      <c r="C112">
        <v>3612</v>
      </c>
      <c r="D112">
        <v>0</v>
      </c>
      <c r="E112" t="s">
        <v>138</v>
      </c>
      <c r="F112" t="s">
        <v>145</v>
      </c>
      <c r="G112" t="s">
        <v>143</v>
      </c>
      <c r="H112">
        <v>3612</v>
      </c>
      <c r="I112" s="6">
        <v>28450</v>
      </c>
      <c r="K112">
        <v>100</v>
      </c>
      <c r="L112">
        <v>100</v>
      </c>
      <c r="M112">
        <v>100</v>
      </c>
      <c r="N112">
        <v>3.32</v>
      </c>
      <c r="O112" s="7">
        <v>1</v>
      </c>
      <c r="P112" s="8">
        <f t="shared" si="26"/>
        <v>0.19073072606771552</v>
      </c>
      <c r="Q112" s="8">
        <f t="shared" si="27"/>
        <v>0.19073072606771552</v>
      </c>
      <c r="R112" s="8">
        <f t="shared" si="28"/>
        <v>0.19073072606771552</v>
      </c>
      <c r="S112" s="8">
        <f t="shared" si="29"/>
        <v>0.19073072606771552</v>
      </c>
      <c r="T112">
        <v>0</v>
      </c>
      <c r="U112">
        <v>0</v>
      </c>
      <c r="V112">
        <f t="shared" si="30"/>
        <v>0</v>
      </c>
      <c r="W112">
        <f t="shared" si="31"/>
        <v>0</v>
      </c>
      <c r="X112" s="6" t="s">
        <v>128</v>
      </c>
      <c r="Y112" s="4" t="s">
        <v>129</v>
      </c>
      <c r="AB112">
        <v>0</v>
      </c>
      <c r="AC112">
        <v>0</v>
      </c>
      <c r="AD112">
        <v>0</v>
      </c>
      <c r="AE112" s="3" t="s">
        <v>135</v>
      </c>
      <c r="AF112">
        <v>1</v>
      </c>
      <c r="AG112">
        <v>1</v>
      </c>
      <c r="AH112">
        <v>0.2</v>
      </c>
      <c r="AI112" s="24"/>
      <c r="AJ112">
        <v>111</v>
      </c>
    </row>
    <row r="113" spans="1:36" x14ac:dyDescent="0.2">
      <c r="A113">
        <f t="shared" si="15"/>
        <v>112</v>
      </c>
      <c r="B113">
        <v>3572</v>
      </c>
      <c r="C113">
        <v>3572</v>
      </c>
      <c r="D113">
        <v>0</v>
      </c>
      <c r="E113" t="s">
        <v>138</v>
      </c>
      <c r="F113" t="s">
        <v>145</v>
      </c>
      <c r="G113" t="s">
        <v>163</v>
      </c>
      <c r="H113">
        <v>3572</v>
      </c>
      <c r="I113" s="6">
        <v>28450</v>
      </c>
      <c r="K113">
        <v>100</v>
      </c>
      <c r="L113">
        <v>100</v>
      </c>
      <c r="M113">
        <v>100</v>
      </c>
      <c r="N113">
        <v>3.32</v>
      </c>
      <c r="O113" s="7">
        <v>1</v>
      </c>
      <c r="P113" s="8">
        <f t="shared" si="26"/>
        <v>0.19073072606771552</v>
      </c>
      <c r="Q113" s="8">
        <f t="shared" si="27"/>
        <v>0.19073072606771552</v>
      </c>
      <c r="R113" s="8">
        <f t="shared" si="28"/>
        <v>0.19073072606771552</v>
      </c>
      <c r="S113" s="8">
        <f t="shared" si="29"/>
        <v>0.19073072606771552</v>
      </c>
      <c r="T113">
        <v>0</v>
      </c>
      <c r="U113">
        <v>0</v>
      </c>
      <c r="V113">
        <f t="shared" si="30"/>
        <v>0</v>
      </c>
      <c r="W113">
        <f t="shared" si="31"/>
        <v>0</v>
      </c>
      <c r="X113" s="6" t="s">
        <v>128</v>
      </c>
      <c r="Y113" s="4" t="s">
        <v>129</v>
      </c>
      <c r="AB113">
        <v>0</v>
      </c>
      <c r="AC113">
        <v>0</v>
      </c>
      <c r="AD113">
        <v>0</v>
      </c>
      <c r="AE113" s="3" t="s">
        <v>135</v>
      </c>
      <c r="AF113">
        <v>1</v>
      </c>
      <c r="AG113">
        <v>1</v>
      </c>
      <c r="AH113">
        <v>0.2</v>
      </c>
      <c r="AI113" s="24"/>
      <c r="AJ113">
        <v>112</v>
      </c>
    </row>
    <row r="114" spans="1:36" x14ac:dyDescent="0.2">
      <c r="A114">
        <f t="shared" si="15"/>
        <v>113</v>
      </c>
      <c r="B114">
        <v>3525</v>
      </c>
      <c r="C114">
        <v>3525</v>
      </c>
      <c r="D114">
        <v>0</v>
      </c>
      <c r="E114" t="s">
        <v>138</v>
      </c>
      <c r="F114" t="s">
        <v>145</v>
      </c>
      <c r="G114" t="s">
        <v>163</v>
      </c>
      <c r="H114">
        <v>3525</v>
      </c>
      <c r="I114" s="6">
        <v>28450</v>
      </c>
      <c r="K114">
        <v>100</v>
      </c>
      <c r="L114">
        <v>100</v>
      </c>
      <c r="M114">
        <v>100</v>
      </c>
      <c r="N114">
        <v>3.32</v>
      </c>
      <c r="O114" s="7">
        <v>1</v>
      </c>
      <c r="P114" s="8">
        <f t="shared" si="26"/>
        <v>0.19073072606771552</v>
      </c>
      <c r="Q114" s="8">
        <f t="shared" si="27"/>
        <v>0.19073072606771552</v>
      </c>
      <c r="R114" s="8">
        <f t="shared" si="28"/>
        <v>0.19073072606771552</v>
      </c>
      <c r="S114" s="8">
        <f t="shared" si="29"/>
        <v>0.19073072606771552</v>
      </c>
      <c r="T114">
        <v>0</v>
      </c>
      <c r="U114">
        <v>0</v>
      </c>
      <c r="V114">
        <f t="shared" si="30"/>
        <v>0</v>
      </c>
      <c r="W114">
        <f t="shared" si="31"/>
        <v>0</v>
      </c>
      <c r="X114" s="6" t="s">
        <v>128</v>
      </c>
      <c r="Y114" s="4" t="s">
        <v>129</v>
      </c>
      <c r="AB114">
        <v>0</v>
      </c>
      <c r="AC114">
        <v>0</v>
      </c>
      <c r="AD114">
        <v>0</v>
      </c>
      <c r="AE114" s="3" t="s">
        <v>135</v>
      </c>
      <c r="AF114">
        <v>1</v>
      </c>
      <c r="AG114">
        <v>1</v>
      </c>
      <c r="AH114">
        <v>0.2</v>
      </c>
      <c r="AI114" s="24"/>
      <c r="AJ114">
        <v>113</v>
      </c>
    </row>
    <row r="115" spans="1:36" x14ac:dyDescent="0.2">
      <c r="A115">
        <f t="shared" si="15"/>
        <v>114</v>
      </c>
      <c r="B115">
        <v>3410</v>
      </c>
      <c r="C115">
        <v>3410</v>
      </c>
      <c r="D115">
        <v>0</v>
      </c>
      <c r="E115" t="s">
        <v>138</v>
      </c>
      <c r="F115" t="s">
        <v>145</v>
      </c>
      <c r="G115" t="s">
        <v>164</v>
      </c>
      <c r="H115">
        <v>3410</v>
      </c>
      <c r="I115" s="6">
        <v>28450</v>
      </c>
      <c r="K115">
        <v>100</v>
      </c>
      <c r="L115">
        <v>100</v>
      </c>
      <c r="M115">
        <v>100</v>
      </c>
      <c r="N115">
        <v>3.32</v>
      </c>
      <c r="O115" s="7">
        <v>1</v>
      </c>
      <c r="P115" s="8">
        <f t="shared" si="26"/>
        <v>0.19073072606771552</v>
      </c>
      <c r="Q115" s="8">
        <f t="shared" si="27"/>
        <v>0.19073072606771552</v>
      </c>
      <c r="R115" s="8">
        <f t="shared" si="28"/>
        <v>0.19073072606771552</v>
      </c>
      <c r="S115" s="8">
        <f t="shared" si="29"/>
        <v>0.19073072606771552</v>
      </c>
      <c r="T115">
        <v>0</v>
      </c>
      <c r="U115">
        <v>0</v>
      </c>
      <c r="V115">
        <f t="shared" si="30"/>
        <v>0</v>
      </c>
      <c r="W115">
        <f t="shared" si="31"/>
        <v>0</v>
      </c>
      <c r="X115" s="6" t="s">
        <v>128</v>
      </c>
      <c r="Y115" s="4" t="s">
        <v>129</v>
      </c>
      <c r="AB115">
        <v>0</v>
      </c>
      <c r="AC115">
        <v>0</v>
      </c>
      <c r="AD115">
        <v>0</v>
      </c>
      <c r="AE115" s="3" t="s">
        <v>135</v>
      </c>
      <c r="AF115">
        <v>1</v>
      </c>
      <c r="AG115">
        <v>1</v>
      </c>
      <c r="AH115">
        <v>0.2</v>
      </c>
      <c r="AI115" s="24"/>
      <c r="AJ115">
        <v>114</v>
      </c>
    </row>
    <row r="116" spans="1:36" x14ac:dyDescent="0.2">
      <c r="A116">
        <f t="shared" si="15"/>
        <v>115</v>
      </c>
      <c r="B116">
        <v>3355</v>
      </c>
      <c r="C116">
        <v>3355</v>
      </c>
      <c r="D116">
        <v>0</v>
      </c>
      <c r="E116" t="s">
        <v>138</v>
      </c>
      <c r="F116" t="s">
        <v>145</v>
      </c>
      <c r="G116" t="s">
        <v>165</v>
      </c>
      <c r="H116">
        <v>3355</v>
      </c>
      <c r="I116" s="6">
        <v>28450</v>
      </c>
      <c r="K116">
        <v>100</v>
      </c>
      <c r="L116">
        <v>100</v>
      </c>
      <c r="M116">
        <v>100</v>
      </c>
      <c r="N116">
        <v>3.32</v>
      </c>
      <c r="O116" s="7">
        <v>1</v>
      </c>
      <c r="P116" s="8">
        <f t="shared" si="26"/>
        <v>0.19073072606771552</v>
      </c>
      <c r="Q116" s="8">
        <f t="shared" si="27"/>
        <v>0.19073072606771552</v>
      </c>
      <c r="R116" s="8">
        <f t="shared" si="28"/>
        <v>0.19073072606771552</v>
      </c>
      <c r="S116" s="8">
        <f t="shared" si="29"/>
        <v>0.19073072606771552</v>
      </c>
      <c r="T116">
        <v>0</v>
      </c>
      <c r="U116">
        <v>0</v>
      </c>
      <c r="V116">
        <f t="shared" si="30"/>
        <v>0</v>
      </c>
      <c r="W116">
        <f t="shared" si="31"/>
        <v>0</v>
      </c>
      <c r="X116" s="6" t="s">
        <v>128</v>
      </c>
      <c r="Y116" s="4" t="s">
        <v>129</v>
      </c>
      <c r="AB116">
        <v>0</v>
      </c>
      <c r="AC116">
        <v>0</v>
      </c>
      <c r="AD116">
        <v>0</v>
      </c>
      <c r="AE116" s="3" t="s">
        <v>135</v>
      </c>
      <c r="AF116">
        <v>1</v>
      </c>
      <c r="AG116">
        <v>1</v>
      </c>
      <c r="AH116">
        <v>0.2</v>
      </c>
      <c r="AI116" s="24"/>
      <c r="AJ116">
        <v>115</v>
      </c>
    </row>
    <row r="117" spans="1:36" x14ac:dyDescent="0.2">
      <c r="A117">
        <f t="shared" si="15"/>
        <v>116</v>
      </c>
      <c r="B117">
        <v>3325</v>
      </c>
      <c r="C117">
        <v>3325</v>
      </c>
      <c r="D117">
        <v>0</v>
      </c>
      <c r="E117" t="s">
        <v>138</v>
      </c>
      <c r="F117" t="s">
        <v>145</v>
      </c>
      <c r="G117" t="s">
        <v>165</v>
      </c>
      <c r="H117">
        <v>3325</v>
      </c>
      <c r="I117" s="6">
        <v>28450</v>
      </c>
      <c r="K117">
        <v>100</v>
      </c>
      <c r="L117">
        <v>100</v>
      </c>
      <c r="M117">
        <v>100</v>
      </c>
      <c r="N117">
        <v>3.32</v>
      </c>
      <c r="O117" s="7">
        <v>1</v>
      </c>
      <c r="P117" s="8">
        <f t="shared" si="26"/>
        <v>0.19073072606771552</v>
      </c>
      <c r="Q117" s="8">
        <f t="shared" si="27"/>
        <v>0.19073072606771552</v>
      </c>
      <c r="R117" s="8">
        <f t="shared" si="28"/>
        <v>0.19073072606771552</v>
      </c>
      <c r="S117" s="8">
        <f t="shared" si="29"/>
        <v>0.19073072606771552</v>
      </c>
      <c r="T117">
        <v>0</v>
      </c>
      <c r="U117">
        <v>0</v>
      </c>
      <c r="V117">
        <f t="shared" si="30"/>
        <v>0</v>
      </c>
      <c r="W117">
        <f t="shared" si="31"/>
        <v>0</v>
      </c>
      <c r="X117" s="6" t="s">
        <v>128</v>
      </c>
      <c r="Y117" s="4" t="s">
        <v>129</v>
      </c>
      <c r="AB117">
        <v>0</v>
      </c>
      <c r="AC117">
        <v>0</v>
      </c>
      <c r="AD117">
        <v>0</v>
      </c>
      <c r="AE117" s="3" t="s">
        <v>135</v>
      </c>
      <c r="AF117">
        <v>1</v>
      </c>
      <c r="AG117">
        <v>1</v>
      </c>
      <c r="AH117">
        <v>0.2</v>
      </c>
      <c r="AI117" s="24"/>
      <c r="AJ117">
        <v>116</v>
      </c>
    </row>
    <row r="118" spans="1:36" x14ac:dyDescent="0.2">
      <c r="A118">
        <f t="shared" si="15"/>
        <v>117</v>
      </c>
      <c r="B118">
        <v>3160</v>
      </c>
      <c r="C118">
        <v>3160</v>
      </c>
      <c r="D118">
        <v>0</v>
      </c>
      <c r="E118" t="s">
        <v>138</v>
      </c>
      <c r="F118" t="s">
        <v>145</v>
      </c>
      <c r="G118" t="s">
        <v>144</v>
      </c>
      <c r="H118">
        <v>3160</v>
      </c>
      <c r="I118" s="6">
        <v>28450</v>
      </c>
      <c r="K118">
        <v>100</v>
      </c>
      <c r="L118">
        <v>100</v>
      </c>
      <c r="M118">
        <v>100</v>
      </c>
      <c r="N118">
        <v>3.32</v>
      </c>
      <c r="O118" s="7">
        <v>1</v>
      </c>
      <c r="P118" s="8">
        <f t="shared" si="26"/>
        <v>0.19073072606771552</v>
      </c>
      <c r="Q118" s="8">
        <f t="shared" si="27"/>
        <v>0.19073072606771552</v>
      </c>
      <c r="R118" s="8">
        <f t="shared" si="28"/>
        <v>0.19073072606771552</v>
      </c>
      <c r="S118" s="8">
        <f t="shared" si="29"/>
        <v>0.19073072606771552</v>
      </c>
      <c r="T118">
        <v>0</v>
      </c>
      <c r="U118">
        <v>0</v>
      </c>
      <c r="V118">
        <f t="shared" si="30"/>
        <v>0</v>
      </c>
      <c r="W118">
        <f t="shared" si="31"/>
        <v>0</v>
      </c>
      <c r="X118" s="6" t="s">
        <v>128</v>
      </c>
      <c r="Y118" s="4" t="s">
        <v>129</v>
      </c>
      <c r="AB118">
        <v>0</v>
      </c>
      <c r="AC118">
        <v>0</v>
      </c>
      <c r="AD118">
        <v>0</v>
      </c>
      <c r="AE118" s="3" t="s">
        <v>135</v>
      </c>
      <c r="AF118">
        <v>1</v>
      </c>
      <c r="AG118">
        <v>1</v>
      </c>
      <c r="AH118">
        <v>0.2</v>
      </c>
      <c r="AI118" s="24"/>
      <c r="AJ118">
        <v>117</v>
      </c>
    </row>
    <row r="119" spans="1:36" x14ac:dyDescent="0.2">
      <c r="A119">
        <f t="shared" si="15"/>
        <v>118</v>
      </c>
      <c r="B119">
        <v>3612</v>
      </c>
      <c r="C119">
        <v>3612</v>
      </c>
      <c r="D119">
        <v>0</v>
      </c>
      <c r="E119" t="s">
        <v>138</v>
      </c>
      <c r="F119" t="s">
        <v>146</v>
      </c>
      <c r="G119" t="s">
        <v>150</v>
      </c>
      <c r="H119">
        <v>3612</v>
      </c>
      <c r="I119" s="6">
        <v>28450</v>
      </c>
      <c r="K119">
        <v>100</v>
      </c>
      <c r="L119">
        <v>100</v>
      </c>
      <c r="M119">
        <v>100</v>
      </c>
      <c r="N119">
        <v>3.32</v>
      </c>
      <c r="O119" s="7">
        <v>1</v>
      </c>
      <c r="P119" s="8">
        <f t="shared" si="26"/>
        <v>0.19073072606771552</v>
      </c>
      <c r="Q119" s="8">
        <f t="shared" si="27"/>
        <v>0.19073072606771552</v>
      </c>
      <c r="R119" s="8">
        <f t="shared" si="28"/>
        <v>0.19073072606771552</v>
      </c>
      <c r="S119" s="8">
        <f t="shared" si="29"/>
        <v>0.19073072606771552</v>
      </c>
      <c r="T119">
        <v>0</v>
      </c>
      <c r="U119">
        <v>0</v>
      </c>
      <c r="V119">
        <f t="shared" si="30"/>
        <v>0</v>
      </c>
      <c r="W119">
        <f t="shared" si="31"/>
        <v>0</v>
      </c>
      <c r="X119" s="6" t="s">
        <v>128</v>
      </c>
      <c r="Y119" t="s">
        <v>151</v>
      </c>
      <c r="AB119">
        <v>0</v>
      </c>
      <c r="AC119">
        <v>0</v>
      </c>
      <c r="AD119">
        <v>0</v>
      </c>
      <c r="AE119" s="3" t="s">
        <v>135</v>
      </c>
      <c r="AF119">
        <v>1</v>
      </c>
      <c r="AG119">
        <v>1</v>
      </c>
      <c r="AH119">
        <v>0.2</v>
      </c>
      <c r="AI119" s="24"/>
      <c r="AJ119">
        <v>118</v>
      </c>
    </row>
    <row r="120" spans="1:36" x14ac:dyDescent="0.2">
      <c r="A120">
        <f t="shared" si="15"/>
        <v>119</v>
      </c>
      <c r="B120" s="7">
        <v>3572</v>
      </c>
      <c r="C120" s="7">
        <v>3572</v>
      </c>
      <c r="D120">
        <v>0</v>
      </c>
      <c r="E120" t="s">
        <v>138</v>
      </c>
      <c r="F120" t="s">
        <v>146</v>
      </c>
      <c r="G120" t="s">
        <v>147</v>
      </c>
      <c r="H120" s="7">
        <v>3572</v>
      </c>
      <c r="I120" s="6">
        <v>28450</v>
      </c>
      <c r="K120">
        <v>100</v>
      </c>
      <c r="L120">
        <v>100</v>
      </c>
      <c r="M120">
        <v>100</v>
      </c>
      <c r="N120">
        <v>3.32</v>
      </c>
      <c r="O120" s="7">
        <v>1</v>
      </c>
      <c r="P120" s="8">
        <f t="shared" si="26"/>
        <v>0.19073072606771552</v>
      </c>
      <c r="Q120" s="8">
        <f t="shared" si="27"/>
        <v>0.19073072606771552</v>
      </c>
      <c r="R120" s="8">
        <f t="shared" si="28"/>
        <v>0.19073072606771552</v>
      </c>
      <c r="S120" s="8">
        <f t="shared" si="29"/>
        <v>0.19073072606771552</v>
      </c>
      <c r="T120">
        <v>0</v>
      </c>
      <c r="U120">
        <v>0</v>
      </c>
      <c r="V120">
        <f t="shared" si="30"/>
        <v>0</v>
      </c>
      <c r="W120">
        <f t="shared" si="31"/>
        <v>0</v>
      </c>
      <c r="X120" s="6" t="s">
        <v>128</v>
      </c>
      <c r="Y120" t="s">
        <v>151</v>
      </c>
      <c r="AB120">
        <v>0</v>
      </c>
      <c r="AC120">
        <v>0</v>
      </c>
      <c r="AD120">
        <v>0</v>
      </c>
      <c r="AE120" s="3" t="s">
        <v>135</v>
      </c>
      <c r="AF120">
        <v>1</v>
      </c>
      <c r="AG120">
        <v>1</v>
      </c>
      <c r="AH120">
        <v>0.2</v>
      </c>
      <c r="AI120" s="24"/>
      <c r="AJ120">
        <v>119</v>
      </c>
    </row>
    <row r="121" spans="1:36" x14ac:dyDescent="0.2">
      <c r="A121">
        <f t="shared" si="15"/>
        <v>120</v>
      </c>
      <c r="B121">
        <v>3525</v>
      </c>
      <c r="C121">
        <v>3525</v>
      </c>
      <c r="D121">
        <v>0</v>
      </c>
      <c r="E121" t="s">
        <v>138</v>
      </c>
      <c r="F121" t="s">
        <v>146</v>
      </c>
      <c r="G121" t="s">
        <v>147</v>
      </c>
      <c r="H121">
        <v>3525</v>
      </c>
      <c r="I121" s="6">
        <v>28450</v>
      </c>
      <c r="K121">
        <v>100</v>
      </c>
      <c r="L121">
        <v>100</v>
      </c>
      <c r="M121">
        <v>100</v>
      </c>
      <c r="N121">
        <v>3.32</v>
      </c>
      <c r="O121" s="7">
        <v>1</v>
      </c>
      <c r="P121" s="8">
        <f t="shared" si="26"/>
        <v>0.19073072606771552</v>
      </c>
      <c r="Q121" s="8">
        <f t="shared" si="27"/>
        <v>0.19073072606771552</v>
      </c>
      <c r="R121" s="8">
        <f t="shared" si="28"/>
        <v>0.19073072606771552</v>
      </c>
      <c r="S121" s="8">
        <f t="shared" si="29"/>
        <v>0.19073072606771552</v>
      </c>
      <c r="T121">
        <v>0</v>
      </c>
      <c r="U121">
        <v>0</v>
      </c>
      <c r="V121">
        <f t="shared" si="30"/>
        <v>0</v>
      </c>
      <c r="W121">
        <f t="shared" si="31"/>
        <v>0</v>
      </c>
      <c r="X121" s="6" t="s">
        <v>128</v>
      </c>
      <c r="Y121" t="s">
        <v>151</v>
      </c>
      <c r="AB121">
        <v>0</v>
      </c>
      <c r="AC121">
        <v>0</v>
      </c>
      <c r="AD121">
        <v>0</v>
      </c>
      <c r="AE121" s="3" t="s">
        <v>135</v>
      </c>
      <c r="AF121">
        <v>1</v>
      </c>
      <c r="AG121">
        <v>1</v>
      </c>
      <c r="AH121">
        <v>0.2</v>
      </c>
      <c r="AI121" s="24"/>
      <c r="AJ121">
        <v>120</v>
      </c>
    </row>
    <row r="122" spans="1:36" x14ac:dyDescent="0.2">
      <c r="A122">
        <f t="shared" si="15"/>
        <v>121</v>
      </c>
      <c r="B122">
        <v>3353</v>
      </c>
      <c r="C122">
        <v>3353</v>
      </c>
      <c r="D122">
        <v>0</v>
      </c>
      <c r="E122" t="s">
        <v>138</v>
      </c>
      <c r="F122" t="s">
        <v>146</v>
      </c>
      <c r="G122" t="s">
        <v>148</v>
      </c>
      <c r="H122">
        <v>3353</v>
      </c>
      <c r="I122" s="6">
        <v>28450</v>
      </c>
      <c r="K122">
        <v>100</v>
      </c>
      <c r="L122">
        <v>100</v>
      </c>
      <c r="M122">
        <v>100</v>
      </c>
      <c r="N122">
        <v>3.32</v>
      </c>
      <c r="O122" s="7">
        <v>1</v>
      </c>
      <c r="P122" s="8">
        <f t="shared" si="26"/>
        <v>0.19073072606771552</v>
      </c>
      <c r="Q122" s="8">
        <f t="shared" si="27"/>
        <v>0.19073072606771552</v>
      </c>
      <c r="R122" s="8">
        <f t="shared" si="28"/>
        <v>0.19073072606771552</v>
      </c>
      <c r="S122" s="8">
        <f t="shared" si="29"/>
        <v>0.19073072606771552</v>
      </c>
      <c r="T122">
        <v>0</v>
      </c>
      <c r="U122">
        <v>0</v>
      </c>
      <c r="V122">
        <f t="shared" si="30"/>
        <v>0</v>
      </c>
      <c r="W122">
        <f t="shared" si="31"/>
        <v>0</v>
      </c>
      <c r="X122" s="6" t="s">
        <v>128</v>
      </c>
      <c r="Y122" t="s">
        <v>151</v>
      </c>
      <c r="AB122">
        <v>0</v>
      </c>
      <c r="AC122">
        <v>0</v>
      </c>
      <c r="AD122">
        <v>0</v>
      </c>
      <c r="AE122" s="3" t="s">
        <v>135</v>
      </c>
      <c r="AF122">
        <v>1</v>
      </c>
      <c r="AG122">
        <v>1</v>
      </c>
      <c r="AH122">
        <v>0.2</v>
      </c>
      <c r="AI122" s="24"/>
      <c r="AJ122">
        <v>121</v>
      </c>
    </row>
    <row r="123" spans="1:36" x14ac:dyDescent="0.2">
      <c r="A123">
        <f t="shared" si="15"/>
        <v>122</v>
      </c>
      <c r="B123">
        <v>3387</v>
      </c>
      <c r="C123">
        <v>3387</v>
      </c>
      <c r="D123">
        <v>0</v>
      </c>
      <c r="E123" t="s">
        <v>138</v>
      </c>
      <c r="F123" t="s">
        <v>146</v>
      </c>
      <c r="G123" t="s">
        <v>148</v>
      </c>
      <c r="H123">
        <v>3387</v>
      </c>
      <c r="I123" s="6">
        <v>28450</v>
      </c>
      <c r="K123">
        <v>100</v>
      </c>
      <c r="L123">
        <v>100</v>
      </c>
      <c r="M123">
        <v>100</v>
      </c>
      <c r="N123">
        <v>3.32</v>
      </c>
      <c r="O123" s="7">
        <v>1</v>
      </c>
      <c r="P123" s="8">
        <f t="shared" si="26"/>
        <v>0.19073072606771552</v>
      </c>
      <c r="Q123" s="8">
        <f t="shared" si="27"/>
        <v>0.19073072606771552</v>
      </c>
      <c r="R123" s="8">
        <f t="shared" si="28"/>
        <v>0.19073072606771552</v>
      </c>
      <c r="S123" s="8">
        <f t="shared" si="29"/>
        <v>0.19073072606771552</v>
      </c>
      <c r="T123">
        <v>0</v>
      </c>
      <c r="U123">
        <v>0</v>
      </c>
      <c r="V123">
        <f t="shared" si="30"/>
        <v>0</v>
      </c>
      <c r="W123">
        <f t="shared" si="31"/>
        <v>0</v>
      </c>
      <c r="X123" s="6" t="s">
        <v>128</v>
      </c>
      <c r="Y123" t="s">
        <v>151</v>
      </c>
      <c r="AB123">
        <v>0</v>
      </c>
      <c r="AC123">
        <v>0</v>
      </c>
      <c r="AD123">
        <v>0</v>
      </c>
      <c r="AE123" s="3" t="s">
        <v>135</v>
      </c>
      <c r="AF123">
        <v>1</v>
      </c>
      <c r="AG123">
        <v>1</v>
      </c>
      <c r="AH123">
        <v>0.2</v>
      </c>
      <c r="AI123" s="24"/>
      <c r="AJ123">
        <v>122</v>
      </c>
    </row>
    <row r="124" spans="1:36" x14ac:dyDescent="0.2">
      <c r="A124">
        <f t="shared" si="15"/>
        <v>123</v>
      </c>
      <c r="B124">
        <v>3328</v>
      </c>
      <c r="C124">
        <v>3328</v>
      </c>
      <c r="D124">
        <v>0</v>
      </c>
      <c r="E124" t="s">
        <v>138</v>
      </c>
      <c r="F124" t="s">
        <v>146</v>
      </c>
      <c r="G124" t="s">
        <v>148</v>
      </c>
      <c r="H124">
        <v>3328</v>
      </c>
      <c r="I124" s="6">
        <v>28450</v>
      </c>
      <c r="K124">
        <v>100</v>
      </c>
      <c r="L124">
        <v>100</v>
      </c>
      <c r="M124">
        <v>100</v>
      </c>
      <c r="N124">
        <v>3.32</v>
      </c>
      <c r="O124" s="7">
        <v>1</v>
      </c>
      <c r="P124" s="8">
        <f t="shared" si="26"/>
        <v>0.19073072606771552</v>
      </c>
      <c r="Q124" s="8">
        <f t="shared" si="27"/>
        <v>0.19073072606771552</v>
      </c>
      <c r="R124" s="8">
        <f t="shared" si="28"/>
        <v>0.19073072606771552</v>
      </c>
      <c r="S124" s="8">
        <f t="shared" si="29"/>
        <v>0.19073072606771552</v>
      </c>
      <c r="T124">
        <v>0</v>
      </c>
      <c r="U124">
        <v>0</v>
      </c>
      <c r="V124">
        <f t="shared" si="30"/>
        <v>0</v>
      </c>
      <c r="W124">
        <f t="shared" si="31"/>
        <v>0</v>
      </c>
      <c r="X124" s="6" t="s">
        <v>128</v>
      </c>
      <c r="Y124" t="s">
        <v>151</v>
      </c>
      <c r="AB124">
        <v>0</v>
      </c>
      <c r="AC124">
        <v>0</v>
      </c>
      <c r="AD124">
        <v>0</v>
      </c>
      <c r="AE124" s="3" t="s">
        <v>135</v>
      </c>
      <c r="AF124">
        <v>1</v>
      </c>
      <c r="AG124">
        <v>1</v>
      </c>
      <c r="AH124">
        <v>0.2</v>
      </c>
      <c r="AI124" s="24"/>
      <c r="AJ124">
        <v>123</v>
      </c>
    </row>
    <row r="125" spans="1:36" x14ac:dyDescent="0.2">
      <c r="A125">
        <f t="shared" si="15"/>
        <v>124</v>
      </c>
      <c r="B125">
        <v>3220</v>
      </c>
      <c r="C125">
        <v>3220</v>
      </c>
      <c r="D125">
        <v>0</v>
      </c>
      <c r="E125" t="s">
        <v>138</v>
      </c>
      <c r="F125" t="s">
        <v>146</v>
      </c>
      <c r="G125" t="s">
        <v>149</v>
      </c>
      <c r="H125">
        <v>3220</v>
      </c>
      <c r="I125" s="6">
        <v>28450</v>
      </c>
      <c r="K125">
        <v>100</v>
      </c>
      <c r="L125">
        <v>100</v>
      </c>
      <c r="M125">
        <v>100</v>
      </c>
      <c r="N125">
        <v>3.32</v>
      </c>
      <c r="O125" s="7">
        <v>1</v>
      </c>
      <c r="P125" s="8">
        <f t="shared" si="26"/>
        <v>0.19073072606771552</v>
      </c>
      <c r="Q125" s="8">
        <f t="shared" si="27"/>
        <v>0.19073072606771552</v>
      </c>
      <c r="R125" s="8">
        <f t="shared" si="28"/>
        <v>0.19073072606771552</v>
      </c>
      <c r="S125" s="8">
        <f t="shared" si="29"/>
        <v>0.19073072606771552</v>
      </c>
      <c r="T125">
        <v>0</v>
      </c>
      <c r="U125">
        <v>0</v>
      </c>
      <c r="V125">
        <f t="shared" si="30"/>
        <v>0</v>
      </c>
      <c r="W125">
        <f t="shared" si="31"/>
        <v>0</v>
      </c>
      <c r="X125" s="6" t="s">
        <v>128</v>
      </c>
      <c r="Y125" t="s">
        <v>151</v>
      </c>
      <c r="AB125">
        <v>0</v>
      </c>
      <c r="AC125">
        <v>0</v>
      </c>
      <c r="AD125">
        <v>0</v>
      </c>
      <c r="AE125" s="3" t="s">
        <v>135</v>
      </c>
      <c r="AF125">
        <v>1</v>
      </c>
      <c r="AG125">
        <v>1</v>
      </c>
      <c r="AH125">
        <v>0.2</v>
      </c>
      <c r="AI125" s="24"/>
      <c r="AJ125">
        <v>124</v>
      </c>
    </row>
    <row r="126" spans="1:36" x14ac:dyDescent="0.2">
      <c r="A126">
        <f t="shared" si="15"/>
        <v>125</v>
      </c>
      <c r="B126">
        <v>3160</v>
      </c>
      <c r="C126">
        <v>3160</v>
      </c>
      <c r="D126">
        <v>0</v>
      </c>
      <c r="E126" t="s">
        <v>138</v>
      </c>
      <c r="F126" t="s">
        <v>146</v>
      </c>
      <c r="G126" t="s">
        <v>149</v>
      </c>
      <c r="H126">
        <v>3160</v>
      </c>
      <c r="I126" s="6">
        <v>28450</v>
      </c>
      <c r="K126">
        <v>100</v>
      </c>
      <c r="L126">
        <v>100</v>
      </c>
      <c r="M126">
        <v>100</v>
      </c>
      <c r="N126">
        <v>3.32</v>
      </c>
      <c r="O126" s="7">
        <v>1</v>
      </c>
      <c r="P126" s="8">
        <f t="shared" si="26"/>
        <v>0.19073072606771552</v>
      </c>
      <c r="Q126" s="8">
        <f t="shared" si="27"/>
        <v>0.19073072606771552</v>
      </c>
      <c r="R126" s="8">
        <f t="shared" si="28"/>
        <v>0.19073072606771552</v>
      </c>
      <c r="S126" s="8">
        <f t="shared" si="29"/>
        <v>0.19073072606771552</v>
      </c>
      <c r="T126">
        <v>0</v>
      </c>
      <c r="U126">
        <v>0</v>
      </c>
      <c r="V126">
        <f t="shared" si="30"/>
        <v>0</v>
      </c>
      <c r="W126">
        <f t="shared" si="31"/>
        <v>0</v>
      </c>
      <c r="X126" s="6" t="s">
        <v>128</v>
      </c>
      <c r="Y126" t="s">
        <v>151</v>
      </c>
      <c r="AB126">
        <v>0</v>
      </c>
      <c r="AC126">
        <v>0</v>
      </c>
      <c r="AD126">
        <v>0</v>
      </c>
      <c r="AE126" s="3" t="s">
        <v>135</v>
      </c>
      <c r="AF126">
        <v>1</v>
      </c>
      <c r="AG126">
        <v>1</v>
      </c>
      <c r="AH126">
        <v>0.2</v>
      </c>
      <c r="AI126" s="24"/>
      <c r="AJ126">
        <v>125</v>
      </c>
    </row>
    <row r="127" spans="1:36" x14ac:dyDescent="0.2">
      <c r="A127">
        <f t="shared" si="15"/>
        <v>126</v>
      </c>
      <c r="B127">
        <v>3699</v>
      </c>
      <c r="C127">
        <v>3699</v>
      </c>
      <c r="D127">
        <v>0</v>
      </c>
      <c r="E127" t="s">
        <v>152</v>
      </c>
      <c r="F127" t="s">
        <v>162</v>
      </c>
      <c r="G127" t="s">
        <v>153</v>
      </c>
      <c r="H127">
        <v>3699</v>
      </c>
      <c r="I127" s="6">
        <v>0</v>
      </c>
      <c r="K127">
        <v>100</v>
      </c>
      <c r="L127">
        <v>100</v>
      </c>
      <c r="M127">
        <v>100</v>
      </c>
      <c r="N127">
        <v>2.65</v>
      </c>
      <c r="O127" s="7">
        <v>0</v>
      </c>
      <c r="P127" s="8">
        <v>0</v>
      </c>
      <c r="Q127" s="8">
        <f t="shared" ref="Q127:Q140" si="32">(1/(K127/100))*$P127</f>
        <v>0</v>
      </c>
      <c r="R127" s="8">
        <f t="shared" ref="R127:R140" si="33">(1/(L127/100))*$P127</f>
        <v>0</v>
      </c>
      <c r="S127" s="8">
        <f t="shared" ref="S127:S140" si="34">(1/(M127/100))*$P127</f>
        <v>0</v>
      </c>
      <c r="T127">
        <v>0</v>
      </c>
      <c r="U127">
        <v>0</v>
      </c>
      <c r="V127">
        <f t="shared" ref="V127:V140" si="35">IF(T127=0,0,-(B127-T127))</f>
        <v>0</v>
      </c>
      <c r="W127">
        <f t="shared" ref="W127:W140" si="36">IF(U127=0,0,(U127-B127))</f>
        <v>0</v>
      </c>
      <c r="AB127">
        <v>0</v>
      </c>
      <c r="AC127">
        <v>0</v>
      </c>
      <c r="AD127">
        <v>0</v>
      </c>
      <c r="AE127" s="3" t="s">
        <v>135</v>
      </c>
      <c r="AF127">
        <v>1</v>
      </c>
      <c r="AG127">
        <v>1</v>
      </c>
      <c r="AH127">
        <v>0.2</v>
      </c>
      <c r="AI127" s="24"/>
      <c r="AJ127">
        <v>126</v>
      </c>
    </row>
    <row r="128" spans="1:36" x14ac:dyDescent="0.2">
      <c r="A128">
        <f t="shared" si="15"/>
        <v>127</v>
      </c>
      <c r="B128">
        <v>3653</v>
      </c>
      <c r="C128">
        <v>3653</v>
      </c>
      <c r="D128">
        <v>0</v>
      </c>
      <c r="E128" t="s">
        <v>152</v>
      </c>
      <c r="F128" t="s">
        <v>162</v>
      </c>
      <c r="G128" t="s">
        <v>154</v>
      </c>
      <c r="H128">
        <v>3653</v>
      </c>
      <c r="I128" s="6">
        <v>0</v>
      </c>
      <c r="K128">
        <v>100</v>
      </c>
      <c r="L128">
        <v>100</v>
      </c>
      <c r="M128">
        <v>100</v>
      </c>
      <c r="N128">
        <v>2.65</v>
      </c>
      <c r="O128" s="7">
        <v>0</v>
      </c>
      <c r="P128" s="8">
        <v>0</v>
      </c>
      <c r="Q128" s="8">
        <f t="shared" si="32"/>
        <v>0</v>
      </c>
      <c r="R128" s="8">
        <f t="shared" si="33"/>
        <v>0</v>
      </c>
      <c r="S128" s="8">
        <f t="shared" si="34"/>
        <v>0</v>
      </c>
      <c r="T128">
        <v>0</v>
      </c>
      <c r="U128">
        <v>0</v>
      </c>
      <c r="V128">
        <f t="shared" si="35"/>
        <v>0</v>
      </c>
      <c r="W128">
        <f t="shared" si="36"/>
        <v>0</v>
      </c>
      <c r="AB128">
        <v>0</v>
      </c>
      <c r="AC128">
        <v>0</v>
      </c>
      <c r="AD128">
        <v>0</v>
      </c>
      <c r="AE128" s="3" t="s">
        <v>135</v>
      </c>
      <c r="AF128">
        <v>1</v>
      </c>
      <c r="AG128">
        <v>1</v>
      </c>
      <c r="AH128">
        <v>0.2</v>
      </c>
      <c r="AI128" s="24"/>
      <c r="AJ128">
        <v>127</v>
      </c>
    </row>
    <row r="129" spans="1:36" x14ac:dyDescent="0.2">
      <c r="A129">
        <f t="shared" si="15"/>
        <v>128</v>
      </c>
      <c r="B129">
        <v>3624</v>
      </c>
      <c r="C129">
        <v>3624</v>
      </c>
      <c r="D129">
        <v>0</v>
      </c>
      <c r="E129" t="s">
        <v>152</v>
      </c>
      <c r="F129" t="s">
        <v>162</v>
      </c>
      <c r="G129" t="s">
        <v>155</v>
      </c>
      <c r="H129">
        <v>3624</v>
      </c>
      <c r="I129" s="6">
        <v>0</v>
      </c>
      <c r="K129">
        <v>100</v>
      </c>
      <c r="L129">
        <v>100</v>
      </c>
      <c r="M129">
        <v>100</v>
      </c>
      <c r="N129">
        <v>2.65</v>
      </c>
      <c r="O129" s="7">
        <v>0</v>
      </c>
      <c r="P129" s="8">
        <v>0</v>
      </c>
      <c r="Q129" s="8">
        <f t="shared" si="32"/>
        <v>0</v>
      </c>
      <c r="R129" s="8">
        <f t="shared" si="33"/>
        <v>0</v>
      </c>
      <c r="S129" s="8">
        <f t="shared" si="34"/>
        <v>0</v>
      </c>
      <c r="T129">
        <v>0</v>
      </c>
      <c r="U129">
        <v>0</v>
      </c>
      <c r="V129">
        <f t="shared" si="35"/>
        <v>0</v>
      </c>
      <c r="W129">
        <f t="shared" si="36"/>
        <v>0</v>
      </c>
      <c r="AB129">
        <v>0</v>
      </c>
      <c r="AC129">
        <v>0</v>
      </c>
      <c r="AD129">
        <v>0</v>
      </c>
      <c r="AE129" s="3" t="s">
        <v>135</v>
      </c>
      <c r="AF129">
        <v>1</v>
      </c>
      <c r="AG129">
        <v>1</v>
      </c>
      <c r="AH129">
        <v>0.2</v>
      </c>
      <c r="AI129" s="24"/>
      <c r="AJ129">
        <v>128</v>
      </c>
    </row>
    <row r="130" spans="1:36" ht="18" x14ac:dyDescent="0.2">
      <c r="A130">
        <f t="shared" si="15"/>
        <v>129</v>
      </c>
      <c r="B130">
        <v>3596</v>
      </c>
      <c r="C130">
        <v>3596</v>
      </c>
      <c r="D130">
        <v>0</v>
      </c>
      <c r="E130" t="s">
        <v>152</v>
      </c>
      <c r="F130" t="s">
        <v>162</v>
      </c>
      <c r="G130" t="s">
        <v>156</v>
      </c>
      <c r="H130">
        <v>3596</v>
      </c>
      <c r="I130" s="6">
        <v>42000</v>
      </c>
      <c r="K130">
        <v>100</v>
      </c>
      <c r="L130">
        <v>100</v>
      </c>
      <c r="M130">
        <v>100</v>
      </c>
      <c r="N130">
        <v>2.65</v>
      </c>
      <c r="O130" s="7">
        <v>1</v>
      </c>
      <c r="P130" s="8">
        <f t="shared" ref="P130:P135" si="37">(18.01528/($N130*$I130)*1000)</f>
        <v>0.16186235399820306</v>
      </c>
      <c r="Q130" s="8">
        <f t="shared" si="32"/>
        <v>0.16186235399820306</v>
      </c>
      <c r="R130" s="8">
        <f t="shared" si="33"/>
        <v>0.16186235399820306</v>
      </c>
      <c r="S130" s="8">
        <f t="shared" si="34"/>
        <v>0.16186235399820306</v>
      </c>
      <c r="T130">
        <v>0</v>
      </c>
      <c r="U130">
        <v>0</v>
      </c>
      <c r="V130">
        <f t="shared" si="35"/>
        <v>0</v>
      </c>
      <c r="W130">
        <f t="shared" si="36"/>
        <v>0</v>
      </c>
      <c r="AB130">
        <v>0</v>
      </c>
      <c r="AC130">
        <v>0</v>
      </c>
      <c r="AD130">
        <v>0</v>
      </c>
      <c r="AE130" s="3" t="s">
        <v>135</v>
      </c>
      <c r="AF130">
        <v>1</v>
      </c>
      <c r="AG130">
        <v>1</v>
      </c>
      <c r="AH130">
        <v>0.2</v>
      </c>
      <c r="AI130" s="24"/>
      <c r="AJ130">
        <v>129</v>
      </c>
    </row>
    <row r="131" spans="1:36" ht="18" x14ac:dyDescent="0.2">
      <c r="A131">
        <f t="shared" si="15"/>
        <v>130</v>
      </c>
      <c r="B131">
        <v>3585</v>
      </c>
      <c r="C131">
        <v>3585</v>
      </c>
      <c r="D131">
        <v>0</v>
      </c>
      <c r="E131" t="s">
        <v>152</v>
      </c>
      <c r="F131" t="s">
        <v>162</v>
      </c>
      <c r="G131" t="s">
        <v>157</v>
      </c>
      <c r="H131">
        <v>3585</v>
      </c>
      <c r="I131" s="6">
        <v>42000</v>
      </c>
      <c r="K131">
        <v>100</v>
      </c>
      <c r="L131">
        <v>100</v>
      </c>
      <c r="M131">
        <v>100</v>
      </c>
      <c r="N131">
        <v>2.65</v>
      </c>
      <c r="O131" s="7">
        <v>1</v>
      </c>
      <c r="P131" s="8">
        <f t="shared" si="37"/>
        <v>0.16186235399820306</v>
      </c>
      <c r="Q131" s="8">
        <f t="shared" si="32"/>
        <v>0.16186235399820306</v>
      </c>
      <c r="R131" s="8">
        <f t="shared" si="33"/>
        <v>0.16186235399820306</v>
      </c>
      <c r="S131" s="8">
        <f t="shared" si="34"/>
        <v>0.16186235399820306</v>
      </c>
      <c r="T131">
        <v>0</v>
      </c>
      <c r="U131">
        <v>0</v>
      </c>
      <c r="V131">
        <f t="shared" si="35"/>
        <v>0</v>
      </c>
      <c r="W131">
        <f t="shared" si="36"/>
        <v>0</v>
      </c>
      <c r="AB131">
        <v>0</v>
      </c>
      <c r="AC131">
        <v>0</v>
      </c>
      <c r="AD131">
        <v>0</v>
      </c>
      <c r="AE131" s="3" t="s">
        <v>135</v>
      </c>
      <c r="AF131">
        <v>1</v>
      </c>
      <c r="AG131">
        <v>1</v>
      </c>
      <c r="AH131">
        <v>0.2</v>
      </c>
      <c r="AI131" s="24"/>
      <c r="AJ131">
        <v>130</v>
      </c>
    </row>
    <row r="132" spans="1:36" x14ac:dyDescent="0.2">
      <c r="A132">
        <f t="shared" ref="A132:A195" si="38">A131+1</f>
        <v>131</v>
      </c>
      <c r="B132">
        <v>3467</v>
      </c>
      <c r="C132">
        <v>3467</v>
      </c>
      <c r="D132">
        <v>0</v>
      </c>
      <c r="E132" t="s">
        <v>152</v>
      </c>
      <c r="F132" t="s">
        <v>162</v>
      </c>
      <c r="G132" t="s">
        <v>158</v>
      </c>
      <c r="H132">
        <v>3467</v>
      </c>
      <c r="I132" s="6">
        <v>42000</v>
      </c>
      <c r="K132">
        <v>100</v>
      </c>
      <c r="L132">
        <v>100</v>
      </c>
      <c r="M132">
        <v>100</v>
      </c>
      <c r="N132">
        <v>2.65</v>
      </c>
      <c r="O132" s="7">
        <v>1</v>
      </c>
      <c r="P132" s="8">
        <f t="shared" si="37"/>
        <v>0.16186235399820306</v>
      </c>
      <c r="Q132" s="8">
        <f t="shared" si="32"/>
        <v>0.16186235399820306</v>
      </c>
      <c r="R132" s="8">
        <f t="shared" si="33"/>
        <v>0.16186235399820306</v>
      </c>
      <c r="S132" s="8">
        <f t="shared" si="34"/>
        <v>0.16186235399820306</v>
      </c>
      <c r="T132">
        <v>0</v>
      </c>
      <c r="U132">
        <v>0</v>
      </c>
      <c r="V132">
        <f t="shared" si="35"/>
        <v>0</v>
      </c>
      <c r="W132">
        <f t="shared" si="36"/>
        <v>0</v>
      </c>
      <c r="AB132">
        <v>0</v>
      </c>
      <c r="AC132">
        <v>0</v>
      </c>
      <c r="AD132">
        <v>0</v>
      </c>
      <c r="AE132" s="3" t="s">
        <v>135</v>
      </c>
      <c r="AF132">
        <v>1</v>
      </c>
      <c r="AG132">
        <v>1</v>
      </c>
      <c r="AH132">
        <v>0.2</v>
      </c>
      <c r="AI132" s="24"/>
      <c r="AJ132">
        <v>131</v>
      </c>
    </row>
    <row r="133" spans="1:36" x14ac:dyDescent="0.2">
      <c r="A133">
        <f t="shared" si="38"/>
        <v>132</v>
      </c>
      <c r="B133">
        <v>3429</v>
      </c>
      <c r="C133">
        <v>3429</v>
      </c>
      <c r="D133">
        <v>0</v>
      </c>
      <c r="E133" t="s">
        <v>152</v>
      </c>
      <c r="F133" t="s">
        <v>162</v>
      </c>
      <c r="G133" t="s">
        <v>159</v>
      </c>
      <c r="H133">
        <v>3429</v>
      </c>
      <c r="I133" s="6">
        <v>42000</v>
      </c>
      <c r="K133">
        <v>100</v>
      </c>
      <c r="L133">
        <v>100</v>
      </c>
      <c r="M133">
        <v>100</v>
      </c>
      <c r="N133">
        <v>2.65</v>
      </c>
      <c r="O133" s="7">
        <v>1</v>
      </c>
      <c r="P133" s="8">
        <f t="shared" si="37"/>
        <v>0.16186235399820306</v>
      </c>
      <c r="Q133" s="8">
        <f t="shared" si="32"/>
        <v>0.16186235399820306</v>
      </c>
      <c r="R133" s="8">
        <f t="shared" si="33"/>
        <v>0.16186235399820306</v>
      </c>
      <c r="S133" s="8">
        <f t="shared" si="34"/>
        <v>0.16186235399820306</v>
      </c>
      <c r="T133">
        <v>0</v>
      </c>
      <c r="U133">
        <v>0</v>
      </c>
      <c r="V133">
        <f t="shared" si="35"/>
        <v>0</v>
      </c>
      <c r="W133">
        <f t="shared" si="36"/>
        <v>0</v>
      </c>
      <c r="AB133">
        <v>0</v>
      </c>
      <c r="AC133">
        <v>0</v>
      </c>
      <c r="AD133">
        <v>0</v>
      </c>
      <c r="AE133" s="3" t="s">
        <v>135</v>
      </c>
      <c r="AF133">
        <v>1</v>
      </c>
      <c r="AG133">
        <v>1</v>
      </c>
      <c r="AH133">
        <v>0.2</v>
      </c>
      <c r="AI133" s="24"/>
      <c r="AJ133">
        <v>132</v>
      </c>
    </row>
    <row r="134" spans="1:36" x14ac:dyDescent="0.2">
      <c r="A134">
        <f t="shared" si="38"/>
        <v>133</v>
      </c>
      <c r="B134">
        <v>3379</v>
      </c>
      <c r="C134">
        <v>3379</v>
      </c>
      <c r="D134">
        <v>0</v>
      </c>
      <c r="E134" t="s">
        <v>152</v>
      </c>
      <c r="F134" t="s">
        <v>162</v>
      </c>
      <c r="G134" t="s">
        <v>160</v>
      </c>
      <c r="H134">
        <v>3379</v>
      </c>
      <c r="I134" s="6">
        <v>42000</v>
      </c>
      <c r="K134">
        <v>100</v>
      </c>
      <c r="L134">
        <v>100</v>
      </c>
      <c r="M134">
        <v>100</v>
      </c>
      <c r="N134">
        <v>2.65</v>
      </c>
      <c r="O134" s="7">
        <v>1</v>
      </c>
      <c r="P134" s="8">
        <f t="shared" si="37"/>
        <v>0.16186235399820306</v>
      </c>
      <c r="Q134" s="8">
        <f t="shared" si="32"/>
        <v>0.16186235399820306</v>
      </c>
      <c r="R134" s="8">
        <f t="shared" si="33"/>
        <v>0.16186235399820306</v>
      </c>
      <c r="S134" s="8">
        <f t="shared" si="34"/>
        <v>0.16186235399820306</v>
      </c>
      <c r="T134">
        <v>0</v>
      </c>
      <c r="U134">
        <v>0</v>
      </c>
      <c r="V134">
        <f t="shared" si="35"/>
        <v>0</v>
      </c>
      <c r="W134">
        <f t="shared" si="36"/>
        <v>0</v>
      </c>
      <c r="AB134">
        <v>0</v>
      </c>
      <c r="AC134">
        <v>0</v>
      </c>
      <c r="AD134">
        <v>0</v>
      </c>
      <c r="AE134" s="3" t="s">
        <v>135</v>
      </c>
      <c r="AF134">
        <v>1</v>
      </c>
      <c r="AG134">
        <v>1</v>
      </c>
      <c r="AH134">
        <v>0.2</v>
      </c>
      <c r="AI134" s="24"/>
      <c r="AJ134">
        <v>133</v>
      </c>
    </row>
    <row r="135" spans="1:36" x14ac:dyDescent="0.2">
      <c r="A135">
        <f t="shared" si="38"/>
        <v>134</v>
      </c>
      <c r="B135">
        <v>3319</v>
      </c>
      <c r="C135">
        <v>3319</v>
      </c>
      <c r="D135">
        <v>0</v>
      </c>
      <c r="E135" t="s">
        <v>152</v>
      </c>
      <c r="F135" t="s">
        <v>162</v>
      </c>
      <c r="G135" t="s">
        <v>161</v>
      </c>
      <c r="H135">
        <v>3319</v>
      </c>
      <c r="I135" s="6">
        <v>42000</v>
      </c>
      <c r="K135">
        <v>100</v>
      </c>
      <c r="L135">
        <v>100</v>
      </c>
      <c r="M135">
        <v>100</v>
      </c>
      <c r="N135">
        <v>2.65</v>
      </c>
      <c r="O135" s="7">
        <v>1</v>
      </c>
      <c r="P135" s="8">
        <f t="shared" si="37"/>
        <v>0.16186235399820306</v>
      </c>
      <c r="Q135" s="8">
        <f t="shared" si="32"/>
        <v>0.16186235399820306</v>
      </c>
      <c r="R135" s="8">
        <f t="shared" si="33"/>
        <v>0.16186235399820306</v>
      </c>
      <c r="S135" s="8">
        <f t="shared" si="34"/>
        <v>0.16186235399820306</v>
      </c>
      <c r="T135">
        <v>0</v>
      </c>
      <c r="U135">
        <v>0</v>
      </c>
      <c r="V135">
        <f t="shared" si="35"/>
        <v>0</v>
      </c>
      <c r="W135">
        <f t="shared" si="36"/>
        <v>0</v>
      </c>
      <c r="AB135">
        <v>0</v>
      </c>
      <c r="AC135">
        <v>0</v>
      </c>
      <c r="AD135">
        <v>0</v>
      </c>
      <c r="AE135" s="3" t="s">
        <v>135</v>
      </c>
      <c r="AF135">
        <v>1</v>
      </c>
      <c r="AG135">
        <v>1</v>
      </c>
      <c r="AH135">
        <v>0.2</v>
      </c>
      <c r="AI135" s="24"/>
      <c r="AJ135">
        <v>134</v>
      </c>
    </row>
    <row r="136" spans="1:36" x14ac:dyDescent="0.2">
      <c r="A136">
        <f t="shared" si="38"/>
        <v>135</v>
      </c>
      <c r="B136">
        <v>3483</v>
      </c>
      <c r="C136">
        <v>3483</v>
      </c>
      <c r="D136">
        <v>0</v>
      </c>
      <c r="E136" t="s">
        <v>152</v>
      </c>
      <c r="F136" t="s">
        <v>237</v>
      </c>
      <c r="G136" t="s">
        <v>239</v>
      </c>
      <c r="H136">
        <v>3483</v>
      </c>
      <c r="I136" s="6">
        <v>161000</v>
      </c>
      <c r="K136">
        <v>100</v>
      </c>
      <c r="L136">
        <v>100</v>
      </c>
      <c r="M136">
        <v>100</v>
      </c>
      <c r="N136">
        <v>2.65</v>
      </c>
      <c r="O136" s="7">
        <v>0</v>
      </c>
      <c r="P136" s="8">
        <v>0</v>
      </c>
      <c r="Q136" s="8">
        <f t="shared" si="32"/>
        <v>0</v>
      </c>
      <c r="R136" s="8">
        <f t="shared" si="33"/>
        <v>0</v>
      </c>
      <c r="S136" s="8">
        <f t="shared" si="34"/>
        <v>0</v>
      </c>
      <c r="T136">
        <v>0</v>
      </c>
      <c r="U136">
        <v>0</v>
      </c>
      <c r="V136">
        <f t="shared" si="35"/>
        <v>0</v>
      </c>
      <c r="W136">
        <f t="shared" si="36"/>
        <v>0</v>
      </c>
      <c r="AB136">
        <v>0</v>
      </c>
      <c r="AC136">
        <v>0</v>
      </c>
      <c r="AD136">
        <v>0</v>
      </c>
      <c r="AE136" s="3" t="s">
        <v>135</v>
      </c>
      <c r="AF136">
        <v>1</v>
      </c>
      <c r="AG136">
        <v>1</v>
      </c>
      <c r="AH136">
        <v>0.2</v>
      </c>
      <c r="AI136" s="24"/>
      <c r="AJ136">
        <v>126</v>
      </c>
    </row>
    <row r="137" spans="1:36" x14ac:dyDescent="0.2">
      <c r="A137">
        <f t="shared" si="38"/>
        <v>136</v>
      </c>
      <c r="B137">
        <v>3440</v>
      </c>
      <c r="C137">
        <v>3440</v>
      </c>
      <c r="D137">
        <v>0</v>
      </c>
      <c r="E137" t="s">
        <v>152</v>
      </c>
      <c r="F137" t="s">
        <v>237</v>
      </c>
      <c r="G137" t="s">
        <v>240</v>
      </c>
      <c r="H137">
        <v>3440</v>
      </c>
      <c r="I137" s="6">
        <v>180000</v>
      </c>
      <c r="K137">
        <v>100</v>
      </c>
      <c r="L137">
        <v>100</v>
      </c>
      <c r="M137">
        <v>100</v>
      </c>
      <c r="N137">
        <v>2.65</v>
      </c>
      <c r="O137" s="7">
        <v>0</v>
      </c>
      <c r="P137" s="8">
        <v>0</v>
      </c>
      <c r="Q137" s="8">
        <f t="shared" si="32"/>
        <v>0</v>
      </c>
      <c r="R137" s="8">
        <f t="shared" si="33"/>
        <v>0</v>
      </c>
      <c r="S137" s="8">
        <f t="shared" si="34"/>
        <v>0</v>
      </c>
      <c r="T137">
        <v>0</v>
      </c>
      <c r="U137">
        <v>0</v>
      </c>
      <c r="V137">
        <f t="shared" si="35"/>
        <v>0</v>
      </c>
      <c r="W137">
        <f t="shared" si="36"/>
        <v>0</v>
      </c>
      <c r="AB137">
        <v>0</v>
      </c>
      <c r="AC137">
        <v>0</v>
      </c>
      <c r="AD137">
        <v>0</v>
      </c>
      <c r="AE137" s="3" t="s">
        <v>135</v>
      </c>
      <c r="AF137">
        <v>1</v>
      </c>
      <c r="AG137">
        <v>1</v>
      </c>
      <c r="AH137">
        <v>0.2</v>
      </c>
      <c r="AI137" s="24"/>
      <c r="AJ137">
        <v>127</v>
      </c>
    </row>
    <row r="138" spans="1:36" x14ac:dyDescent="0.2">
      <c r="A138">
        <f t="shared" si="38"/>
        <v>137</v>
      </c>
      <c r="B138">
        <v>3380</v>
      </c>
      <c r="C138">
        <v>3380</v>
      </c>
      <c r="D138">
        <v>0</v>
      </c>
      <c r="E138" t="s">
        <v>152</v>
      </c>
      <c r="F138" t="s">
        <v>237</v>
      </c>
      <c r="G138" t="s">
        <v>240</v>
      </c>
      <c r="H138">
        <v>3380</v>
      </c>
      <c r="I138" s="6">
        <v>180000</v>
      </c>
      <c r="K138">
        <v>100</v>
      </c>
      <c r="L138">
        <v>100</v>
      </c>
      <c r="M138">
        <v>100</v>
      </c>
      <c r="N138">
        <v>2.65</v>
      </c>
      <c r="O138" s="7">
        <v>0</v>
      </c>
      <c r="P138" s="8">
        <v>0</v>
      </c>
      <c r="Q138" s="8">
        <f t="shared" si="32"/>
        <v>0</v>
      </c>
      <c r="R138" s="8">
        <f t="shared" si="33"/>
        <v>0</v>
      </c>
      <c r="S138" s="8">
        <f t="shared" si="34"/>
        <v>0</v>
      </c>
      <c r="T138">
        <v>0</v>
      </c>
      <c r="U138">
        <v>0</v>
      </c>
      <c r="V138">
        <f t="shared" si="35"/>
        <v>0</v>
      </c>
      <c r="W138">
        <f t="shared" si="36"/>
        <v>0</v>
      </c>
      <c r="AB138">
        <v>0</v>
      </c>
      <c r="AC138">
        <v>0</v>
      </c>
      <c r="AD138">
        <v>0</v>
      </c>
      <c r="AE138" s="3" t="s">
        <v>135</v>
      </c>
      <c r="AF138">
        <v>1</v>
      </c>
      <c r="AG138">
        <v>1</v>
      </c>
      <c r="AH138">
        <v>0.2</v>
      </c>
      <c r="AI138" s="24"/>
      <c r="AJ138">
        <v>128</v>
      </c>
    </row>
    <row r="139" spans="1:36" ht="18" x14ac:dyDescent="0.2">
      <c r="A139">
        <f t="shared" si="38"/>
        <v>138</v>
      </c>
      <c r="B139">
        <v>3595</v>
      </c>
      <c r="C139">
        <v>3595</v>
      </c>
      <c r="D139">
        <v>0</v>
      </c>
      <c r="E139" t="s">
        <v>152</v>
      </c>
      <c r="F139" t="s">
        <v>237</v>
      </c>
      <c r="G139" t="s">
        <v>241</v>
      </c>
      <c r="H139">
        <v>3595</v>
      </c>
      <c r="I139" s="6">
        <v>80000</v>
      </c>
      <c r="K139">
        <v>100</v>
      </c>
      <c r="L139">
        <v>100</v>
      </c>
      <c r="M139">
        <v>100</v>
      </c>
      <c r="N139">
        <v>2.65</v>
      </c>
      <c r="O139" s="7">
        <v>1</v>
      </c>
      <c r="P139" s="8">
        <f t="shared" ref="P139" si="39">(18.01528/($N139*$I139)*1000)</f>
        <v>8.4977735849056615E-2</v>
      </c>
      <c r="Q139" s="8">
        <f t="shared" si="32"/>
        <v>8.4977735849056615E-2</v>
      </c>
      <c r="R139" s="8">
        <f t="shared" si="33"/>
        <v>8.4977735849056615E-2</v>
      </c>
      <c r="S139" s="8">
        <f t="shared" si="34"/>
        <v>8.4977735849056615E-2</v>
      </c>
      <c r="T139">
        <v>0</v>
      </c>
      <c r="U139">
        <v>0</v>
      </c>
      <c r="V139">
        <f t="shared" si="35"/>
        <v>0</v>
      </c>
      <c r="W139">
        <f t="shared" si="36"/>
        <v>0</v>
      </c>
      <c r="AB139">
        <v>0</v>
      </c>
      <c r="AC139">
        <v>0</v>
      </c>
      <c r="AD139">
        <v>0</v>
      </c>
      <c r="AE139" s="3" t="s">
        <v>135</v>
      </c>
      <c r="AF139">
        <v>1</v>
      </c>
      <c r="AG139">
        <v>1</v>
      </c>
      <c r="AH139">
        <v>0.2</v>
      </c>
      <c r="AI139" s="24"/>
      <c r="AJ139">
        <v>129</v>
      </c>
    </row>
    <row r="140" spans="1:36" x14ac:dyDescent="0.2">
      <c r="A140">
        <f t="shared" si="38"/>
        <v>139</v>
      </c>
      <c r="B140">
        <v>3510</v>
      </c>
      <c r="C140">
        <v>3510</v>
      </c>
      <c r="D140">
        <v>0</v>
      </c>
      <c r="E140" t="s">
        <v>152</v>
      </c>
      <c r="F140" t="s">
        <v>238</v>
      </c>
      <c r="G140" t="s">
        <v>239</v>
      </c>
      <c r="H140">
        <v>3510</v>
      </c>
      <c r="I140" s="6">
        <v>161000</v>
      </c>
      <c r="K140">
        <v>100</v>
      </c>
      <c r="L140">
        <v>100</v>
      </c>
      <c r="M140">
        <v>100</v>
      </c>
      <c r="N140">
        <v>2.65</v>
      </c>
      <c r="O140" s="7">
        <v>0</v>
      </c>
      <c r="P140" s="8">
        <v>0</v>
      </c>
      <c r="Q140" s="8">
        <f t="shared" si="32"/>
        <v>0</v>
      </c>
      <c r="R140" s="8">
        <f t="shared" si="33"/>
        <v>0</v>
      </c>
      <c r="S140" s="8">
        <f t="shared" si="34"/>
        <v>0</v>
      </c>
      <c r="T140">
        <v>0</v>
      </c>
      <c r="U140">
        <v>0</v>
      </c>
      <c r="V140">
        <f t="shared" si="35"/>
        <v>0</v>
      </c>
      <c r="W140">
        <f t="shared" si="36"/>
        <v>0</v>
      </c>
      <c r="AB140">
        <v>0</v>
      </c>
      <c r="AC140">
        <v>0</v>
      </c>
      <c r="AD140">
        <v>0</v>
      </c>
      <c r="AE140" s="3" t="s">
        <v>135</v>
      </c>
      <c r="AF140">
        <v>1</v>
      </c>
      <c r="AG140">
        <v>1</v>
      </c>
      <c r="AH140">
        <v>0.2</v>
      </c>
      <c r="AI140" s="24"/>
      <c r="AJ140">
        <v>126</v>
      </c>
    </row>
    <row r="141" spans="1:36" x14ac:dyDescent="0.2">
      <c r="A141">
        <f t="shared" si="38"/>
        <v>140</v>
      </c>
      <c r="B141">
        <v>3482</v>
      </c>
      <c r="C141">
        <v>3482</v>
      </c>
      <c r="D141">
        <v>0</v>
      </c>
      <c r="E141" t="s">
        <v>152</v>
      </c>
      <c r="F141" t="s">
        <v>238</v>
      </c>
      <c r="G141" t="s">
        <v>239</v>
      </c>
      <c r="H141">
        <v>3482</v>
      </c>
      <c r="I141" s="6">
        <v>161000</v>
      </c>
      <c r="K141">
        <v>100</v>
      </c>
      <c r="L141">
        <v>100</v>
      </c>
      <c r="M141">
        <v>100</v>
      </c>
      <c r="N141">
        <v>2.65</v>
      </c>
      <c r="O141" s="7">
        <v>0</v>
      </c>
      <c r="P141" s="8">
        <v>0</v>
      </c>
      <c r="Q141" s="8">
        <f t="shared" si="27"/>
        <v>0</v>
      </c>
      <c r="R141" s="8">
        <f t="shared" si="28"/>
        <v>0</v>
      </c>
      <c r="S141" s="8">
        <f t="shared" si="29"/>
        <v>0</v>
      </c>
      <c r="T141">
        <v>0</v>
      </c>
      <c r="U141">
        <v>0</v>
      </c>
      <c r="V141">
        <f t="shared" si="30"/>
        <v>0</v>
      </c>
      <c r="W141">
        <f t="shared" si="31"/>
        <v>0</v>
      </c>
      <c r="AB141">
        <v>0</v>
      </c>
      <c r="AC141">
        <v>0</v>
      </c>
      <c r="AD141">
        <v>0</v>
      </c>
      <c r="AE141" s="3" t="s">
        <v>135</v>
      </c>
      <c r="AF141">
        <v>1</v>
      </c>
      <c r="AG141">
        <v>1</v>
      </c>
      <c r="AH141">
        <v>0.2</v>
      </c>
      <c r="AI141" s="24"/>
      <c r="AJ141">
        <v>126</v>
      </c>
    </row>
    <row r="142" spans="1:36" x14ac:dyDescent="0.2">
      <c r="A142">
        <f t="shared" si="38"/>
        <v>141</v>
      </c>
      <c r="B142">
        <v>3434</v>
      </c>
      <c r="C142">
        <v>3434</v>
      </c>
      <c r="D142">
        <v>0</v>
      </c>
      <c r="E142" t="s">
        <v>152</v>
      </c>
      <c r="F142" t="s">
        <v>238</v>
      </c>
      <c r="G142" t="s">
        <v>240</v>
      </c>
      <c r="H142">
        <v>3434</v>
      </c>
      <c r="I142" s="6">
        <v>180000</v>
      </c>
      <c r="K142">
        <v>100</v>
      </c>
      <c r="L142">
        <v>100</v>
      </c>
      <c r="M142">
        <v>100</v>
      </c>
      <c r="N142">
        <v>2.65</v>
      </c>
      <c r="O142" s="7">
        <v>0</v>
      </c>
      <c r="P142" s="8">
        <v>0</v>
      </c>
      <c r="Q142" s="8">
        <f t="shared" si="27"/>
        <v>0</v>
      </c>
      <c r="R142" s="8">
        <f t="shared" si="28"/>
        <v>0</v>
      </c>
      <c r="S142" s="8">
        <f t="shared" si="29"/>
        <v>0</v>
      </c>
      <c r="T142">
        <v>0</v>
      </c>
      <c r="U142">
        <v>0</v>
      </c>
      <c r="V142">
        <f t="shared" si="30"/>
        <v>0</v>
      </c>
      <c r="W142">
        <f t="shared" si="31"/>
        <v>0</v>
      </c>
      <c r="AB142">
        <v>0</v>
      </c>
      <c r="AC142">
        <v>0</v>
      </c>
      <c r="AD142">
        <v>0</v>
      </c>
      <c r="AE142" s="3" t="s">
        <v>135</v>
      </c>
      <c r="AF142">
        <v>1</v>
      </c>
      <c r="AG142">
        <v>1</v>
      </c>
      <c r="AH142">
        <v>0.2</v>
      </c>
      <c r="AI142" s="24"/>
      <c r="AJ142">
        <v>127</v>
      </c>
    </row>
    <row r="143" spans="1:36" x14ac:dyDescent="0.2">
      <c r="A143">
        <f t="shared" si="38"/>
        <v>142</v>
      </c>
      <c r="B143">
        <v>3378</v>
      </c>
      <c r="C143">
        <v>3378</v>
      </c>
      <c r="D143">
        <v>0</v>
      </c>
      <c r="E143" t="s">
        <v>152</v>
      </c>
      <c r="F143" t="s">
        <v>238</v>
      </c>
      <c r="G143" t="s">
        <v>240</v>
      </c>
      <c r="H143">
        <v>3378</v>
      </c>
      <c r="I143" s="6">
        <v>180000</v>
      </c>
      <c r="K143">
        <v>100</v>
      </c>
      <c r="L143">
        <v>100</v>
      </c>
      <c r="M143">
        <v>100</v>
      </c>
      <c r="N143">
        <v>2.65</v>
      </c>
      <c r="O143" s="7">
        <v>0</v>
      </c>
      <c r="P143" s="8">
        <v>0</v>
      </c>
      <c r="Q143" s="8">
        <f t="shared" ref="Q143" si="40">(1/(K143/100))*$P143</f>
        <v>0</v>
      </c>
      <c r="R143" s="8">
        <f t="shared" ref="R143" si="41">(1/(L143/100))*$P143</f>
        <v>0</v>
      </c>
      <c r="S143" s="8">
        <f t="shared" ref="S143" si="42">(1/(M143/100))*$P143</f>
        <v>0</v>
      </c>
      <c r="T143">
        <v>0</v>
      </c>
      <c r="U143">
        <v>0</v>
      </c>
      <c r="V143">
        <f t="shared" ref="V143" si="43">IF(T143=0,0,-(B143-T143))</f>
        <v>0</v>
      </c>
      <c r="W143">
        <f t="shared" ref="W143" si="44">IF(U143=0,0,(U143-B143))</f>
        <v>0</v>
      </c>
      <c r="AB143">
        <v>0</v>
      </c>
      <c r="AC143">
        <v>0</v>
      </c>
      <c r="AD143">
        <v>0</v>
      </c>
      <c r="AE143" s="3" t="s">
        <v>135</v>
      </c>
      <c r="AF143">
        <v>1</v>
      </c>
      <c r="AG143">
        <v>1</v>
      </c>
      <c r="AH143">
        <v>0.2</v>
      </c>
      <c r="AI143" s="24"/>
      <c r="AJ143">
        <v>128</v>
      </c>
    </row>
    <row r="144" spans="1:36" x14ac:dyDescent="0.2">
      <c r="A144">
        <f t="shared" si="38"/>
        <v>143</v>
      </c>
      <c r="B144">
        <v>3315</v>
      </c>
      <c r="C144">
        <v>3315</v>
      </c>
      <c r="D144">
        <v>0</v>
      </c>
      <c r="E144" t="s">
        <v>152</v>
      </c>
      <c r="F144" t="s">
        <v>238</v>
      </c>
      <c r="G144" t="s">
        <v>240</v>
      </c>
      <c r="H144">
        <v>3315</v>
      </c>
      <c r="I144" s="6">
        <v>180000</v>
      </c>
      <c r="K144">
        <v>100</v>
      </c>
      <c r="L144">
        <v>100</v>
      </c>
      <c r="M144">
        <v>100</v>
      </c>
      <c r="N144">
        <v>2.65</v>
      </c>
      <c r="O144" s="7">
        <v>0</v>
      </c>
      <c r="P144" s="8">
        <v>0</v>
      </c>
      <c r="Q144" s="8">
        <f t="shared" si="27"/>
        <v>0</v>
      </c>
      <c r="R144" s="8">
        <f t="shared" si="28"/>
        <v>0</v>
      </c>
      <c r="S144" s="8">
        <f t="shared" si="29"/>
        <v>0</v>
      </c>
      <c r="T144">
        <v>0</v>
      </c>
      <c r="U144">
        <v>0</v>
      </c>
      <c r="V144">
        <f t="shared" si="30"/>
        <v>0</v>
      </c>
      <c r="W144">
        <f t="shared" si="31"/>
        <v>0</v>
      </c>
      <c r="AB144">
        <v>0</v>
      </c>
      <c r="AC144">
        <v>0</v>
      </c>
      <c r="AD144">
        <v>0</v>
      </c>
      <c r="AE144" s="3" t="s">
        <v>135</v>
      </c>
      <c r="AF144">
        <v>1</v>
      </c>
      <c r="AG144">
        <v>1</v>
      </c>
      <c r="AH144">
        <v>0.2</v>
      </c>
      <c r="AI144" s="24"/>
      <c r="AJ144">
        <v>128</v>
      </c>
    </row>
    <row r="145" spans="1:36" ht="18" x14ac:dyDescent="0.2">
      <c r="A145">
        <f t="shared" si="38"/>
        <v>144</v>
      </c>
      <c r="B145">
        <v>3595</v>
      </c>
      <c r="C145">
        <v>3595</v>
      </c>
      <c r="D145">
        <v>0</v>
      </c>
      <c r="E145" t="s">
        <v>152</v>
      </c>
      <c r="F145" t="s">
        <v>238</v>
      </c>
      <c r="G145" t="s">
        <v>241</v>
      </c>
      <c r="H145">
        <v>3595</v>
      </c>
      <c r="I145" s="6">
        <v>80000</v>
      </c>
      <c r="K145">
        <v>100</v>
      </c>
      <c r="L145">
        <v>100</v>
      </c>
      <c r="M145">
        <v>100</v>
      </c>
      <c r="N145">
        <v>2.65</v>
      </c>
      <c r="O145" s="7">
        <v>1</v>
      </c>
      <c r="P145" s="8">
        <f t="shared" ref="P145" si="45">(18.01528/($N145*$I145)*1000)</f>
        <v>8.4977735849056615E-2</v>
      </c>
      <c r="Q145" s="8">
        <f t="shared" si="27"/>
        <v>8.4977735849056615E-2</v>
      </c>
      <c r="R145" s="8">
        <f t="shared" si="28"/>
        <v>8.4977735849056615E-2</v>
      </c>
      <c r="S145" s="8">
        <f t="shared" si="29"/>
        <v>8.4977735849056615E-2</v>
      </c>
      <c r="T145">
        <v>0</v>
      </c>
      <c r="U145">
        <v>0</v>
      </c>
      <c r="V145">
        <f t="shared" si="30"/>
        <v>0</v>
      </c>
      <c r="W145">
        <f t="shared" si="31"/>
        <v>0</v>
      </c>
      <c r="AB145">
        <v>0</v>
      </c>
      <c r="AC145">
        <v>0</v>
      </c>
      <c r="AD145">
        <v>0</v>
      </c>
      <c r="AE145" s="3" t="s">
        <v>135</v>
      </c>
      <c r="AF145">
        <v>1</v>
      </c>
      <c r="AG145">
        <v>1</v>
      </c>
      <c r="AH145">
        <v>0.2</v>
      </c>
      <c r="AI145" s="24"/>
      <c r="AJ145">
        <v>129</v>
      </c>
    </row>
    <row r="146" spans="1:36" x14ac:dyDescent="0.2">
      <c r="A146">
        <f t="shared" si="38"/>
        <v>145</v>
      </c>
      <c r="B146">
        <v>2948</v>
      </c>
      <c r="C146">
        <v>2948</v>
      </c>
      <c r="D146">
        <v>0</v>
      </c>
      <c r="E146" t="s">
        <v>152</v>
      </c>
      <c r="F146" t="s">
        <v>168</v>
      </c>
      <c r="G146" t="s">
        <v>169</v>
      </c>
      <c r="H146">
        <v>2948</v>
      </c>
      <c r="J146">
        <v>374000</v>
      </c>
      <c r="K146" s="11">
        <v>100</v>
      </c>
      <c r="L146" s="11">
        <v>100</v>
      </c>
      <c r="M146" s="11">
        <v>100</v>
      </c>
      <c r="N146">
        <v>2.65</v>
      </c>
      <c r="O146" s="7">
        <v>1</v>
      </c>
      <c r="P146">
        <v>0</v>
      </c>
      <c r="Q146" s="8">
        <f t="shared" si="27"/>
        <v>0</v>
      </c>
      <c r="R146" s="8">
        <f t="shared" si="28"/>
        <v>0</v>
      </c>
      <c r="S146" s="8">
        <f t="shared" si="29"/>
        <v>0</v>
      </c>
      <c r="T146">
        <v>0</v>
      </c>
      <c r="U146">
        <v>0</v>
      </c>
      <c r="V146">
        <f t="shared" si="30"/>
        <v>0</v>
      </c>
      <c r="W146">
        <f t="shared" si="31"/>
        <v>0</v>
      </c>
      <c r="X146" t="s">
        <v>169</v>
      </c>
      <c r="Z146" t="s">
        <v>170</v>
      </c>
      <c r="AA146">
        <v>1.012</v>
      </c>
      <c r="AB146">
        <v>0</v>
      </c>
      <c r="AC146">
        <v>0</v>
      </c>
      <c r="AD146">
        <v>0</v>
      </c>
      <c r="AE146" t="s">
        <v>135</v>
      </c>
      <c r="AF146">
        <v>1</v>
      </c>
      <c r="AG146">
        <v>1</v>
      </c>
      <c r="AH146">
        <v>0.2</v>
      </c>
      <c r="AI146" s="24"/>
      <c r="AJ146">
        <v>135</v>
      </c>
    </row>
    <row r="147" spans="1:36" x14ac:dyDescent="0.2">
      <c r="A147">
        <f t="shared" si="38"/>
        <v>146</v>
      </c>
      <c r="B147">
        <v>3238</v>
      </c>
      <c r="C147">
        <v>3238</v>
      </c>
      <c r="D147">
        <v>0</v>
      </c>
      <c r="E147" t="s">
        <v>152</v>
      </c>
      <c r="F147" t="s">
        <v>168</v>
      </c>
      <c r="G147" t="s">
        <v>171</v>
      </c>
      <c r="H147">
        <v>3238</v>
      </c>
      <c r="J147">
        <v>287000</v>
      </c>
      <c r="K147" s="11">
        <v>100</v>
      </c>
      <c r="L147" s="11">
        <v>100</v>
      </c>
      <c r="M147" s="11">
        <v>100</v>
      </c>
      <c r="N147">
        <v>2.65</v>
      </c>
      <c r="O147" s="7">
        <v>1</v>
      </c>
      <c r="P147">
        <v>0</v>
      </c>
      <c r="Q147" s="8">
        <f t="shared" si="27"/>
        <v>0</v>
      </c>
      <c r="R147" s="8">
        <f t="shared" si="28"/>
        <v>0</v>
      </c>
      <c r="S147" s="8">
        <f t="shared" si="29"/>
        <v>0</v>
      </c>
      <c r="T147">
        <v>0</v>
      </c>
      <c r="U147">
        <v>0</v>
      </c>
      <c r="V147">
        <f t="shared" si="30"/>
        <v>0</v>
      </c>
      <c r="W147">
        <f t="shared" si="31"/>
        <v>0</v>
      </c>
      <c r="Z147">
        <v>22</v>
      </c>
      <c r="AA147" t="s">
        <v>172</v>
      </c>
      <c r="AB147">
        <v>0</v>
      </c>
      <c r="AC147">
        <v>0</v>
      </c>
      <c r="AD147">
        <v>0</v>
      </c>
      <c r="AE147" t="s">
        <v>135</v>
      </c>
      <c r="AF147">
        <v>1</v>
      </c>
      <c r="AG147">
        <v>1</v>
      </c>
      <c r="AH147">
        <v>0.2</v>
      </c>
      <c r="AI147" s="24"/>
      <c r="AJ147">
        <v>136</v>
      </c>
    </row>
    <row r="148" spans="1:36" x14ac:dyDescent="0.2">
      <c r="A148">
        <f t="shared" si="38"/>
        <v>147</v>
      </c>
      <c r="B148">
        <v>3306</v>
      </c>
      <c r="C148">
        <v>3306</v>
      </c>
      <c r="D148">
        <v>0</v>
      </c>
      <c r="E148" t="s">
        <v>152</v>
      </c>
      <c r="F148" t="s">
        <v>168</v>
      </c>
      <c r="G148" t="s">
        <v>173</v>
      </c>
      <c r="H148">
        <v>3306</v>
      </c>
      <c r="J148">
        <v>218000</v>
      </c>
      <c r="K148" s="11">
        <v>100</v>
      </c>
      <c r="L148" s="11">
        <v>100</v>
      </c>
      <c r="M148" s="11">
        <v>100</v>
      </c>
      <c r="N148">
        <v>2.65</v>
      </c>
      <c r="O148" s="7">
        <v>1</v>
      </c>
      <c r="P148">
        <v>0</v>
      </c>
      <c r="Q148" s="8">
        <f t="shared" si="27"/>
        <v>0</v>
      </c>
      <c r="R148" s="8">
        <f t="shared" si="28"/>
        <v>0</v>
      </c>
      <c r="S148" s="8">
        <f t="shared" si="29"/>
        <v>0</v>
      </c>
      <c r="T148">
        <v>0</v>
      </c>
      <c r="U148">
        <v>0</v>
      </c>
      <c r="V148">
        <f t="shared" si="30"/>
        <v>0</v>
      </c>
      <c r="W148">
        <f t="shared" si="31"/>
        <v>0</v>
      </c>
      <c r="X148" t="s">
        <v>17</v>
      </c>
      <c r="Z148">
        <v>2</v>
      </c>
      <c r="AA148">
        <v>0.99099999999999999</v>
      </c>
      <c r="AB148">
        <v>0</v>
      </c>
      <c r="AC148">
        <v>0</v>
      </c>
      <c r="AD148">
        <v>0</v>
      </c>
      <c r="AE148" t="s">
        <v>135</v>
      </c>
      <c r="AF148">
        <v>1</v>
      </c>
      <c r="AG148">
        <v>1</v>
      </c>
      <c r="AH148">
        <v>0.2</v>
      </c>
      <c r="AI148" s="24"/>
      <c r="AJ148">
        <v>137</v>
      </c>
    </row>
    <row r="149" spans="1:36" x14ac:dyDescent="0.2">
      <c r="A149">
        <f t="shared" si="38"/>
        <v>148</v>
      </c>
      <c r="B149">
        <v>3309</v>
      </c>
      <c r="C149">
        <v>3309</v>
      </c>
      <c r="D149">
        <v>0</v>
      </c>
      <c r="E149" t="s">
        <v>152</v>
      </c>
      <c r="F149" t="s">
        <v>168</v>
      </c>
      <c r="G149" t="s">
        <v>174</v>
      </c>
      <c r="H149">
        <v>3309</v>
      </c>
      <c r="J149">
        <v>198000</v>
      </c>
      <c r="K149" s="11">
        <v>100</v>
      </c>
      <c r="L149" s="11">
        <v>100</v>
      </c>
      <c r="M149" s="11">
        <v>100</v>
      </c>
      <c r="N149">
        <v>2.65</v>
      </c>
      <c r="O149" s="7">
        <v>1</v>
      </c>
      <c r="P149">
        <v>0</v>
      </c>
      <c r="Q149" s="8">
        <f t="shared" si="27"/>
        <v>0</v>
      </c>
      <c r="R149" s="8">
        <f t="shared" si="28"/>
        <v>0</v>
      </c>
      <c r="S149" s="8">
        <f t="shared" si="29"/>
        <v>0</v>
      </c>
      <c r="T149">
        <v>0</v>
      </c>
      <c r="U149">
        <v>0</v>
      </c>
      <c r="V149">
        <f t="shared" si="30"/>
        <v>0</v>
      </c>
      <c r="W149">
        <f t="shared" si="31"/>
        <v>0</v>
      </c>
      <c r="X149" t="s">
        <v>36</v>
      </c>
      <c r="Z149" t="s">
        <v>170</v>
      </c>
      <c r="AA149" t="s">
        <v>175</v>
      </c>
      <c r="AB149">
        <v>0</v>
      </c>
      <c r="AC149">
        <v>0</v>
      </c>
      <c r="AD149">
        <v>0</v>
      </c>
      <c r="AE149" t="s">
        <v>135</v>
      </c>
      <c r="AF149">
        <v>1</v>
      </c>
      <c r="AG149">
        <v>1</v>
      </c>
      <c r="AH149">
        <v>0.2</v>
      </c>
      <c r="AI149" s="24"/>
      <c r="AJ149">
        <v>138</v>
      </c>
    </row>
    <row r="150" spans="1:36" x14ac:dyDescent="0.2">
      <c r="A150">
        <f t="shared" si="38"/>
        <v>149</v>
      </c>
      <c r="B150">
        <v>3378</v>
      </c>
      <c r="C150">
        <v>3378</v>
      </c>
      <c r="D150">
        <v>0</v>
      </c>
      <c r="E150" t="s">
        <v>152</v>
      </c>
      <c r="F150" t="s">
        <v>168</v>
      </c>
      <c r="G150" t="s">
        <v>174</v>
      </c>
      <c r="H150">
        <v>3378</v>
      </c>
      <c r="J150">
        <v>198000</v>
      </c>
      <c r="K150" s="11">
        <v>100</v>
      </c>
      <c r="L150" s="11">
        <v>100</v>
      </c>
      <c r="M150" s="11">
        <v>100</v>
      </c>
      <c r="N150">
        <v>2.65</v>
      </c>
      <c r="O150" s="7">
        <v>1</v>
      </c>
      <c r="P150">
        <v>0</v>
      </c>
      <c r="Q150" s="8">
        <f t="shared" ref="Q150:Q171" si="46">(1/(K150/100))*$P150</f>
        <v>0</v>
      </c>
      <c r="R150" s="8">
        <f t="shared" ref="R150:R171" si="47">(1/(L150/100))*$P150</f>
        <v>0</v>
      </c>
      <c r="S150" s="8">
        <f t="shared" ref="S150:S171" si="48">(1/(M150/100))*$P150</f>
        <v>0</v>
      </c>
      <c r="T150">
        <v>0</v>
      </c>
      <c r="U150">
        <v>0</v>
      </c>
      <c r="V150">
        <f t="shared" ref="V150:V169" si="49">IF(T150=0,0,-(B150-T150))</f>
        <v>0</v>
      </c>
      <c r="W150">
        <f t="shared" ref="W150:W169" si="50">IF(U150=0,0,(U150-B150))</f>
        <v>0</v>
      </c>
      <c r="X150" t="s">
        <v>36</v>
      </c>
      <c r="Z150" t="s">
        <v>170</v>
      </c>
      <c r="AA150" t="s">
        <v>175</v>
      </c>
      <c r="AB150">
        <v>0</v>
      </c>
      <c r="AC150">
        <v>0</v>
      </c>
      <c r="AD150">
        <v>0</v>
      </c>
      <c r="AE150" t="s">
        <v>135</v>
      </c>
      <c r="AF150">
        <v>1</v>
      </c>
      <c r="AG150">
        <v>1</v>
      </c>
      <c r="AH150">
        <v>0.2</v>
      </c>
      <c r="AI150" s="24"/>
      <c r="AJ150">
        <v>139</v>
      </c>
    </row>
    <row r="151" spans="1:36" x14ac:dyDescent="0.2">
      <c r="A151">
        <f t="shared" si="38"/>
        <v>150</v>
      </c>
      <c r="B151">
        <v>3382</v>
      </c>
      <c r="C151">
        <v>3382</v>
      </c>
      <c r="D151">
        <v>0</v>
      </c>
      <c r="E151" t="s">
        <v>152</v>
      </c>
      <c r="F151" t="s">
        <v>168</v>
      </c>
      <c r="G151" t="s">
        <v>176</v>
      </c>
      <c r="H151">
        <v>3382</v>
      </c>
      <c r="J151">
        <v>174000</v>
      </c>
      <c r="K151" s="11">
        <v>100</v>
      </c>
      <c r="L151" s="11">
        <v>100</v>
      </c>
      <c r="M151" s="11">
        <v>100</v>
      </c>
      <c r="N151">
        <v>2.65</v>
      </c>
      <c r="O151" s="7">
        <v>1</v>
      </c>
      <c r="P151">
        <v>0</v>
      </c>
      <c r="Q151" s="8">
        <f t="shared" si="46"/>
        <v>0</v>
      </c>
      <c r="R151" s="8">
        <f t="shared" si="47"/>
        <v>0</v>
      </c>
      <c r="S151" s="8">
        <f t="shared" si="48"/>
        <v>0</v>
      </c>
      <c r="T151">
        <v>0</v>
      </c>
      <c r="U151">
        <v>0</v>
      </c>
      <c r="V151">
        <f t="shared" si="49"/>
        <v>0</v>
      </c>
      <c r="W151">
        <f t="shared" si="50"/>
        <v>0</v>
      </c>
      <c r="X151" t="s">
        <v>17</v>
      </c>
      <c r="Z151">
        <v>0</v>
      </c>
      <c r="AA151">
        <v>0.98799999999999999</v>
      </c>
      <c r="AB151">
        <v>0</v>
      </c>
      <c r="AC151">
        <v>0</v>
      </c>
      <c r="AD151">
        <v>0</v>
      </c>
      <c r="AE151" t="s">
        <v>135</v>
      </c>
      <c r="AF151">
        <v>1</v>
      </c>
      <c r="AG151">
        <v>1</v>
      </c>
      <c r="AH151">
        <v>0.2</v>
      </c>
      <c r="AI151" s="24"/>
      <c r="AJ151">
        <v>140</v>
      </c>
    </row>
    <row r="152" spans="1:36" x14ac:dyDescent="0.2">
      <c r="A152">
        <f t="shared" si="38"/>
        <v>151</v>
      </c>
      <c r="B152">
        <v>3411</v>
      </c>
      <c r="C152">
        <v>3411</v>
      </c>
      <c r="D152">
        <v>0</v>
      </c>
      <c r="E152" t="s">
        <v>152</v>
      </c>
      <c r="F152" t="s">
        <v>168</v>
      </c>
      <c r="G152" t="s">
        <v>177</v>
      </c>
      <c r="H152">
        <v>3411</v>
      </c>
      <c r="J152">
        <v>147000</v>
      </c>
      <c r="K152" s="11">
        <v>100</v>
      </c>
      <c r="L152" s="11">
        <v>100</v>
      </c>
      <c r="M152" s="11">
        <v>100</v>
      </c>
      <c r="N152">
        <v>2.65</v>
      </c>
      <c r="O152" s="7">
        <v>1</v>
      </c>
      <c r="P152">
        <v>0</v>
      </c>
      <c r="Q152" s="8">
        <f t="shared" si="46"/>
        <v>0</v>
      </c>
      <c r="R152" s="8">
        <f t="shared" si="47"/>
        <v>0</v>
      </c>
      <c r="S152" s="8">
        <f t="shared" si="48"/>
        <v>0</v>
      </c>
      <c r="T152">
        <v>0</v>
      </c>
      <c r="U152">
        <v>0</v>
      </c>
      <c r="V152">
        <f t="shared" si="49"/>
        <v>0</v>
      </c>
      <c r="W152">
        <f t="shared" si="50"/>
        <v>0</v>
      </c>
      <c r="X152" t="s">
        <v>177</v>
      </c>
      <c r="Z152">
        <v>0</v>
      </c>
      <c r="AA152" t="s">
        <v>178</v>
      </c>
      <c r="AB152">
        <v>0</v>
      </c>
      <c r="AC152">
        <v>0</v>
      </c>
      <c r="AD152">
        <v>0</v>
      </c>
      <c r="AE152" t="s">
        <v>135</v>
      </c>
      <c r="AF152">
        <v>1</v>
      </c>
      <c r="AG152">
        <v>1</v>
      </c>
      <c r="AH152">
        <v>0.2</v>
      </c>
      <c r="AI152" s="24"/>
      <c r="AJ152">
        <v>141</v>
      </c>
    </row>
    <row r="153" spans="1:36" x14ac:dyDescent="0.2">
      <c r="A153">
        <f t="shared" si="38"/>
        <v>152</v>
      </c>
      <c r="B153">
        <v>3414</v>
      </c>
      <c r="C153">
        <v>3414</v>
      </c>
      <c r="D153">
        <v>0</v>
      </c>
      <c r="E153" t="s">
        <v>152</v>
      </c>
      <c r="F153" t="s">
        <v>168</v>
      </c>
      <c r="G153" t="s">
        <v>179</v>
      </c>
      <c r="H153">
        <v>3414</v>
      </c>
      <c r="J153">
        <v>109000</v>
      </c>
      <c r="K153" s="11">
        <v>100</v>
      </c>
      <c r="L153" s="11">
        <v>100</v>
      </c>
      <c r="M153" s="11">
        <v>100</v>
      </c>
      <c r="N153">
        <v>2.65</v>
      </c>
      <c r="O153" s="7">
        <v>1</v>
      </c>
      <c r="P153">
        <v>1E-4</v>
      </c>
      <c r="Q153" s="8">
        <f t="shared" si="46"/>
        <v>1E-4</v>
      </c>
      <c r="R153" s="8">
        <f t="shared" si="47"/>
        <v>1E-4</v>
      </c>
      <c r="S153" s="8">
        <f t="shared" si="48"/>
        <v>1E-4</v>
      </c>
      <c r="T153">
        <v>0</v>
      </c>
      <c r="U153">
        <v>0</v>
      </c>
      <c r="V153">
        <f t="shared" si="49"/>
        <v>0</v>
      </c>
      <c r="W153">
        <f t="shared" si="50"/>
        <v>0</v>
      </c>
      <c r="X153" t="s">
        <v>37</v>
      </c>
      <c r="Z153">
        <v>34</v>
      </c>
      <c r="AA153">
        <v>0.98</v>
      </c>
      <c r="AB153">
        <v>0</v>
      </c>
      <c r="AC153">
        <v>0</v>
      </c>
      <c r="AD153">
        <v>0</v>
      </c>
      <c r="AE153" t="s">
        <v>135</v>
      </c>
      <c r="AF153">
        <v>1</v>
      </c>
      <c r="AG153">
        <v>1</v>
      </c>
      <c r="AH153">
        <v>0.2</v>
      </c>
      <c r="AI153" s="24"/>
      <c r="AJ153">
        <v>142</v>
      </c>
    </row>
    <row r="154" spans="1:36" x14ac:dyDescent="0.2">
      <c r="A154">
        <f t="shared" si="38"/>
        <v>153</v>
      </c>
      <c r="B154">
        <v>3416</v>
      </c>
      <c r="C154">
        <v>3416</v>
      </c>
      <c r="D154">
        <v>0</v>
      </c>
      <c r="E154" t="s">
        <v>152</v>
      </c>
      <c r="F154" t="s">
        <v>168</v>
      </c>
      <c r="G154" t="s">
        <v>171</v>
      </c>
      <c r="H154">
        <v>3416</v>
      </c>
      <c r="J154">
        <v>287000</v>
      </c>
      <c r="K154" s="11">
        <v>100</v>
      </c>
      <c r="L154" s="11">
        <v>100</v>
      </c>
      <c r="M154" s="11">
        <v>100</v>
      </c>
      <c r="N154">
        <v>2.65</v>
      </c>
      <c r="O154" s="7">
        <v>1</v>
      </c>
      <c r="P154">
        <v>0</v>
      </c>
      <c r="Q154" s="8">
        <f t="shared" si="46"/>
        <v>0</v>
      </c>
      <c r="R154" s="8">
        <f t="shared" si="47"/>
        <v>0</v>
      </c>
      <c r="S154" s="8">
        <f t="shared" si="48"/>
        <v>0</v>
      </c>
      <c r="T154">
        <v>0</v>
      </c>
      <c r="U154">
        <v>0</v>
      </c>
      <c r="V154">
        <f t="shared" si="49"/>
        <v>0</v>
      </c>
      <c r="W154">
        <f t="shared" si="50"/>
        <v>0</v>
      </c>
      <c r="Z154">
        <v>22</v>
      </c>
      <c r="AA154" t="s">
        <v>172</v>
      </c>
      <c r="AB154">
        <v>0</v>
      </c>
      <c r="AC154">
        <v>0</v>
      </c>
      <c r="AD154">
        <v>0</v>
      </c>
      <c r="AE154" t="s">
        <v>135</v>
      </c>
      <c r="AF154">
        <v>1</v>
      </c>
      <c r="AG154">
        <v>1</v>
      </c>
      <c r="AH154">
        <v>0.2</v>
      </c>
      <c r="AI154" s="24"/>
      <c r="AJ154">
        <v>143</v>
      </c>
    </row>
    <row r="155" spans="1:36" x14ac:dyDescent="0.2">
      <c r="A155">
        <f t="shared" si="38"/>
        <v>154</v>
      </c>
      <c r="B155">
        <v>3433</v>
      </c>
      <c r="C155">
        <v>3433</v>
      </c>
      <c r="D155">
        <v>0</v>
      </c>
      <c r="E155" t="s">
        <v>152</v>
      </c>
      <c r="F155" t="s">
        <v>168</v>
      </c>
      <c r="G155" t="s">
        <v>174</v>
      </c>
      <c r="H155">
        <v>3433</v>
      </c>
      <c r="J155">
        <v>198000</v>
      </c>
      <c r="K155" s="11">
        <v>100</v>
      </c>
      <c r="L155" s="11">
        <v>100</v>
      </c>
      <c r="M155" s="11">
        <v>100</v>
      </c>
      <c r="N155">
        <v>2.65</v>
      </c>
      <c r="O155" s="7">
        <v>1</v>
      </c>
      <c r="P155">
        <v>0</v>
      </c>
      <c r="Q155" s="8">
        <f t="shared" si="46"/>
        <v>0</v>
      </c>
      <c r="R155" s="8">
        <f t="shared" si="47"/>
        <v>0</v>
      </c>
      <c r="S155" s="8">
        <f t="shared" si="48"/>
        <v>0</v>
      </c>
      <c r="T155">
        <v>0</v>
      </c>
      <c r="U155">
        <v>0</v>
      </c>
      <c r="V155">
        <f t="shared" si="49"/>
        <v>0</v>
      </c>
      <c r="W155">
        <f t="shared" si="50"/>
        <v>0</v>
      </c>
      <c r="X155" t="s">
        <v>36</v>
      </c>
      <c r="Z155" t="s">
        <v>170</v>
      </c>
      <c r="AA155" t="s">
        <v>175</v>
      </c>
      <c r="AB155">
        <v>0</v>
      </c>
      <c r="AC155">
        <v>0</v>
      </c>
      <c r="AD155">
        <v>0</v>
      </c>
      <c r="AE155" t="s">
        <v>135</v>
      </c>
      <c r="AF155">
        <v>1</v>
      </c>
      <c r="AG155">
        <v>1</v>
      </c>
      <c r="AH155">
        <v>0.2</v>
      </c>
      <c r="AI155" s="24"/>
      <c r="AJ155">
        <v>144</v>
      </c>
    </row>
    <row r="156" spans="1:36" x14ac:dyDescent="0.2">
      <c r="A156">
        <f t="shared" si="38"/>
        <v>155</v>
      </c>
      <c r="B156">
        <v>3498</v>
      </c>
      <c r="C156">
        <v>3498</v>
      </c>
      <c r="D156">
        <v>0</v>
      </c>
      <c r="E156" t="s">
        <v>152</v>
      </c>
      <c r="F156" t="s">
        <v>168</v>
      </c>
      <c r="G156" t="s">
        <v>177</v>
      </c>
      <c r="H156">
        <v>3498</v>
      </c>
      <c r="J156">
        <v>147000</v>
      </c>
      <c r="K156" s="11">
        <v>100</v>
      </c>
      <c r="L156" s="11">
        <v>100</v>
      </c>
      <c r="M156" s="11">
        <v>100</v>
      </c>
      <c r="N156">
        <v>2.65</v>
      </c>
      <c r="O156" s="7">
        <v>1</v>
      </c>
      <c r="P156">
        <v>0</v>
      </c>
      <c r="Q156" s="8">
        <f t="shared" si="46"/>
        <v>0</v>
      </c>
      <c r="R156" s="8">
        <f t="shared" si="47"/>
        <v>0</v>
      </c>
      <c r="S156" s="8">
        <f t="shared" si="48"/>
        <v>0</v>
      </c>
      <c r="T156">
        <v>0</v>
      </c>
      <c r="U156">
        <v>0</v>
      </c>
      <c r="V156">
        <f t="shared" si="49"/>
        <v>0</v>
      </c>
      <c r="W156">
        <f t="shared" si="50"/>
        <v>0</v>
      </c>
      <c r="X156" t="s">
        <v>177</v>
      </c>
      <c r="Z156">
        <v>0</v>
      </c>
      <c r="AA156" t="s">
        <v>178</v>
      </c>
      <c r="AB156">
        <v>0</v>
      </c>
      <c r="AC156">
        <v>0</v>
      </c>
      <c r="AD156">
        <v>0</v>
      </c>
      <c r="AE156" t="s">
        <v>135</v>
      </c>
      <c r="AF156">
        <v>1</v>
      </c>
      <c r="AG156">
        <v>1</v>
      </c>
      <c r="AH156">
        <v>0.2</v>
      </c>
      <c r="AI156" s="24"/>
      <c r="AJ156">
        <v>145</v>
      </c>
    </row>
    <row r="157" spans="1:36" x14ac:dyDescent="0.2">
      <c r="A157">
        <f t="shared" si="38"/>
        <v>156</v>
      </c>
      <c r="B157">
        <v>3500</v>
      </c>
      <c r="C157">
        <v>3500</v>
      </c>
      <c r="D157">
        <v>0</v>
      </c>
      <c r="E157" t="s">
        <v>152</v>
      </c>
      <c r="F157" t="s">
        <v>168</v>
      </c>
      <c r="G157" t="s">
        <v>180</v>
      </c>
      <c r="H157">
        <v>3500</v>
      </c>
      <c r="J157">
        <v>161000</v>
      </c>
      <c r="K157" s="11">
        <v>100</v>
      </c>
      <c r="L157" s="11">
        <v>100</v>
      </c>
      <c r="M157" s="11">
        <v>100</v>
      </c>
      <c r="N157">
        <v>2.65</v>
      </c>
      <c r="O157" s="7">
        <v>1</v>
      </c>
      <c r="P157">
        <v>0</v>
      </c>
      <c r="Q157" s="8">
        <f t="shared" si="46"/>
        <v>0</v>
      </c>
      <c r="R157" s="8">
        <f t="shared" si="47"/>
        <v>0</v>
      </c>
      <c r="S157" s="8">
        <f t="shared" si="48"/>
        <v>0</v>
      </c>
      <c r="T157">
        <v>0</v>
      </c>
      <c r="U157">
        <v>0</v>
      </c>
      <c r="V157">
        <f t="shared" si="49"/>
        <v>0</v>
      </c>
      <c r="W157">
        <f t="shared" si="50"/>
        <v>0</v>
      </c>
      <c r="X157" t="s">
        <v>181</v>
      </c>
      <c r="Z157">
        <v>5</v>
      </c>
      <c r="AA157">
        <v>0.97699999999999998</v>
      </c>
      <c r="AB157">
        <v>0</v>
      </c>
      <c r="AC157">
        <v>0</v>
      </c>
      <c r="AD157">
        <v>0</v>
      </c>
      <c r="AE157" t="s">
        <v>135</v>
      </c>
      <c r="AF157">
        <v>1</v>
      </c>
      <c r="AG157">
        <v>1</v>
      </c>
      <c r="AH157">
        <v>0.2</v>
      </c>
      <c r="AI157" s="24"/>
      <c r="AJ157">
        <v>146</v>
      </c>
    </row>
    <row r="158" spans="1:36" x14ac:dyDescent="0.2">
      <c r="A158">
        <f t="shared" si="38"/>
        <v>157</v>
      </c>
      <c r="B158">
        <v>3576</v>
      </c>
      <c r="C158">
        <v>3576</v>
      </c>
      <c r="D158">
        <v>0</v>
      </c>
      <c r="E158" t="s">
        <v>152</v>
      </c>
      <c r="F158" t="s">
        <v>168</v>
      </c>
      <c r="G158" t="s">
        <v>182</v>
      </c>
      <c r="H158">
        <v>3576</v>
      </c>
      <c r="J158">
        <v>122000</v>
      </c>
      <c r="K158" s="11">
        <v>100</v>
      </c>
      <c r="L158" s="11">
        <v>100</v>
      </c>
      <c r="M158" s="11">
        <v>100</v>
      </c>
      <c r="N158">
        <v>2.65</v>
      </c>
      <c r="O158" s="7">
        <v>1</v>
      </c>
      <c r="P158">
        <v>1E-4</v>
      </c>
      <c r="Q158" s="8">
        <f t="shared" si="46"/>
        <v>1E-4</v>
      </c>
      <c r="R158" s="8">
        <f t="shared" si="47"/>
        <v>1E-4</v>
      </c>
      <c r="S158" s="8">
        <f t="shared" si="48"/>
        <v>1E-4</v>
      </c>
      <c r="T158">
        <v>0</v>
      </c>
      <c r="U158">
        <v>0</v>
      </c>
      <c r="V158">
        <f t="shared" si="49"/>
        <v>0</v>
      </c>
      <c r="W158">
        <f t="shared" si="50"/>
        <v>0</v>
      </c>
      <c r="Z158">
        <v>13</v>
      </c>
      <c r="AA158" t="s">
        <v>183</v>
      </c>
      <c r="AB158">
        <v>0</v>
      </c>
      <c r="AC158">
        <v>0</v>
      </c>
      <c r="AD158">
        <v>0</v>
      </c>
      <c r="AE158" t="s">
        <v>135</v>
      </c>
      <c r="AF158">
        <v>1</v>
      </c>
      <c r="AG158">
        <v>1</v>
      </c>
      <c r="AH158">
        <v>0.2</v>
      </c>
      <c r="AI158" s="24"/>
      <c r="AJ158">
        <v>147</v>
      </c>
    </row>
    <row r="159" spans="1:36" x14ac:dyDescent="0.2">
      <c r="A159">
        <f t="shared" si="38"/>
        <v>158</v>
      </c>
      <c r="B159">
        <v>3601</v>
      </c>
      <c r="C159">
        <v>3601</v>
      </c>
      <c r="D159">
        <v>0</v>
      </c>
      <c r="E159" t="s">
        <v>152</v>
      </c>
      <c r="F159" t="s">
        <v>168</v>
      </c>
      <c r="G159" t="s">
        <v>184</v>
      </c>
      <c r="H159">
        <v>3601</v>
      </c>
      <c r="J159">
        <v>90000</v>
      </c>
      <c r="K159" s="11">
        <v>100</v>
      </c>
      <c r="L159" s="11">
        <v>100</v>
      </c>
      <c r="M159" s="11">
        <v>100</v>
      </c>
      <c r="N159">
        <v>2.65</v>
      </c>
      <c r="O159" s="7">
        <v>1</v>
      </c>
      <c r="P159">
        <v>1E-4</v>
      </c>
      <c r="Q159" s="8">
        <f t="shared" si="46"/>
        <v>1E-4</v>
      </c>
      <c r="R159" s="8">
        <f t="shared" si="47"/>
        <v>1E-4</v>
      </c>
      <c r="S159" s="8">
        <f t="shared" si="48"/>
        <v>1E-4</v>
      </c>
      <c r="T159">
        <v>0</v>
      </c>
      <c r="U159">
        <v>0</v>
      </c>
      <c r="V159">
        <f t="shared" si="49"/>
        <v>0</v>
      </c>
      <c r="W159">
        <f t="shared" si="50"/>
        <v>0</v>
      </c>
      <c r="X159" t="s">
        <v>37</v>
      </c>
      <c r="Z159">
        <v>0</v>
      </c>
      <c r="AA159">
        <v>0.97299999999999998</v>
      </c>
      <c r="AB159">
        <v>0</v>
      </c>
      <c r="AC159">
        <v>0</v>
      </c>
      <c r="AD159">
        <v>0</v>
      </c>
      <c r="AE159" t="s">
        <v>135</v>
      </c>
      <c r="AF159">
        <v>1</v>
      </c>
      <c r="AG159">
        <v>1</v>
      </c>
      <c r="AH159">
        <v>0.2</v>
      </c>
      <c r="AI159" s="24"/>
      <c r="AJ159">
        <v>148</v>
      </c>
    </row>
    <row r="160" spans="1:36" x14ac:dyDescent="0.2">
      <c r="A160">
        <f t="shared" si="38"/>
        <v>159</v>
      </c>
      <c r="B160">
        <v>3615</v>
      </c>
      <c r="C160">
        <v>3615</v>
      </c>
      <c r="D160">
        <v>0</v>
      </c>
      <c r="E160" t="s">
        <v>152</v>
      </c>
      <c r="F160" t="s">
        <v>168</v>
      </c>
      <c r="G160" t="s">
        <v>185</v>
      </c>
      <c r="H160">
        <v>3615</v>
      </c>
      <c r="J160">
        <v>74000</v>
      </c>
      <c r="K160" s="11">
        <v>100</v>
      </c>
      <c r="L160" s="11">
        <v>100</v>
      </c>
      <c r="M160" s="11">
        <v>100</v>
      </c>
      <c r="N160">
        <v>2.65</v>
      </c>
      <c r="O160" s="7">
        <v>1</v>
      </c>
      <c r="P160">
        <v>1E-4</v>
      </c>
      <c r="Q160" s="8">
        <f t="shared" si="46"/>
        <v>1E-4</v>
      </c>
      <c r="R160" s="8">
        <f t="shared" si="47"/>
        <v>1E-4</v>
      </c>
      <c r="S160" s="8">
        <f t="shared" si="48"/>
        <v>1E-4</v>
      </c>
      <c r="T160">
        <v>0</v>
      </c>
      <c r="U160">
        <v>0</v>
      </c>
      <c r="V160">
        <f t="shared" si="49"/>
        <v>0</v>
      </c>
      <c r="W160">
        <f t="shared" si="50"/>
        <v>0</v>
      </c>
      <c r="X160" t="s">
        <v>37</v>
      </c>
      <c r="Z160">
        <v>11</v>
      </c>
      <c r="AA160">
        <v>0.97199999999999998</v>
      </c>
      <c r="AB160">
        <v>0</v>
      </c>
      <c r="AC160">
        <v>0</v>
      </c>
      <c r="AD160">
        <v>0</v>
      </c>
      <c r="AE160" t="s">
        <v>135</v>
      </c>
      <c r="AF160">
        <v>1</v>
      </c>
      <c r="AG160">
        <v>1</v>
      </c>
      <c r="AH160">
        <v>0.2</v>
      </c>
      <c r="AI160" s="24"/>
      <c r="AJ160">
        <v>149</v>
      </c>
    </row>
    <row r="161" spans="1:36" x14ac:dyDescent="0.2">
      <c r="A161">
        <f t="shared" si="38"/>
        <v>160</v>
      </c>
      <c r="B161">
        <v>3621</v>
      </c>
      <c r="C161">
        <v>3621</v>
      </c>
      <c r="D161">
        <v>0</v>
      </c>
      <c r="E161" t="s">
        <v>152</v>
      </c>
      <c r="F161" t="s">
        <v>168</v>
      </c>
      <c r="G161" t="s">
        <v>182</v>
      </c>
      <c r="H161">
        <v>3621</v>
      </c>
      <c r="J161">
        <v>122000</v>
      </c>
      <c r="K161" s="11">
        <v>100</v>
      </c>
      <c r="L161" s="11">
        <v>100</v>
      </c>
      <c r="M161" s="11">
        <v>100</v>
      </c>
      <c r="N161">
        <v>2.65</v>
      </c>
      <c r="O161" s="7">
        <v>1</v>
      </c>
      <c r="P161">
        <v>1E-4</v>
      </c>
      <c r="Q161" s="8">
        <f t="shared" si="46"/>
        <v>1E-4</v>
      </c>
      <c r="R161" s="8">
        <f t="shared" si="47"/>
        <v>1E-4</v>
      </c>
      <c r="S161" s="8">
        <f t="shared" si="48"/>
        <v>1E-4</v>
      </c>
      <c r="T161">
        <v>0</v>
      </c>
      <c r="U161">
        <v>0</v>
      </c>
      <c r="V161">
        <f t="shared" si="49"/>
        <v>0</v>
      </c>
      <c r="W161">
        <f t="shared" si="50"/>
        <v>0</v>
      </c>
      <c r="Z161">
        <v>13</v>
      </c>
      <c r="AA161" t="s">
        <v>183</v>
      </c>
      <c r="AB161">
        <v>0</v>
      </c>
      <c r="AC161">
        <v>0</v>
      </c>
      <c r="AD161">
        <v>0</v>
      </c>
      <c r="AE161" t="s">
        <v>135</v>
      </c>
      <c r="AF161">
        <v>1</v>
      </c>
      <c r="AG161">
        <v>1</v>
      </c>
      <c r="AH161">
        <v>0.2</v>
      </c>
      <c r="AI161" s="24"/>
      <c r="AJ161">
        <v>150</v>
      </c>
    </row>
    <row r="162" spans="1:36" x14ac:dyDescent="0.2">
      <c r="A162">
        <f t="shared" si="38"/>
        <v>161</v>
      </c>
      <c r="B162">
        <v>3633</v>
      </c>
      <c r="C162">
        <v>3633</v>
      </c>
      <c r="D162">
        <v>0</v>
      </c>
      <c r="E162" t="s">
        <v>152</v>
      </c>
      <c r="F162" t="s">
        <v>168</v>
      </c>
      <c r="G162" t="s">
        <v>186</v>
      </c>
      <c r="H162">
        <v>3633</v>
      </c>
      <c r="J162">
        <v>80000</v>
      </c>
      <c r="K162" s="11">
        <v>100</v>
      </c>
      <c r="L162" s="11">
        <v>100</v>
      </c>
      <c r="M162" s="11">
        <v>100</v>
      </c>
      <c r="N162">
        <v>2.65</v>
      </c>
      <c r="O162" s="7">
        <v>1</v>
      </c>
      <c r="P162">
        <v>1E-4</v>
      </c>
      <c r="Q162" s="8">
        <f t="shared" si="46"/>
        <v>1E-4</v>
      </c>
      <c r="R162" s="8">
        <f t="shared" si="47"/>
        <v>1E-4</v>
      </c>
      <c r="S162" s="8">
        <f t="shared" si="48"/>
        <v>1E-4</v>
      </c>
      <c r="T162">
        <v>0</v>
      </c>
      <c r="U162">
        <v>0</v>
      </c>
      <c r="V162">
        <f t="shared" si="49"/>
        <v>0</v>
      </c>
      <c r="W162">
        <f t="shared" si="50"/>
        <v>0</v>
      </c>
      <c r="X162" t="s">
        <v>117</v>
      </c>
      <c r="Z162">
        <v>0</v>
      </c>
      <c r="AA162">
        <v>0.97299999999999998</v>
      </c>
      <c r="AB162">
        <v>0</v>
      </c>
      <c r="AC162">
        <v>0</v>
      </c>
      <c r="AD162">
        <v>0</v>
      </c>
      <c r="AE162" t="s">
        <v>135</v>
      </c>
      <c r="AF162">
        <v>1</v>
      </c>
      <c r="AG162">
        <v>1</v>
      </c>
      <c r="AH162">
        <v>0.2</v>
      </c>
      <c r="AI162" s="24"/>
      <c r="AJ162">
        <v>151</v>
      </c>
    </row>
    <row r="163" spans="1:36" x14ac:dyDescent="0.2">
      <c r="A163">
        <f t="shared" si="38"/>
        <v>162</v>
      </c>
      <c r="B163">
        <v>3655</v>
      </c>
      <c r="C163">
        <v>3655</v>
      </c>
      <c r="D163">
        <v>0</v>
      </c>
      <c r="E163" t="s">
        <v>152</v>
      </c>
      <c r="F163" t="s">
        <v>168</v>
      </c>
      <c r="G163" t="s">
        <v>174</v>
      </c>
      <c r="H163">
        <v>3655</v>
      </c>
      <c r="J163">
        <v>198000</v>
      </c>
      <c r="K163" s="11">
        <v>100</v>
      </c>
      <c r="L163" s="11">
        <v>100</v>
      </c>
      <c r="M163" s="11">
        <v>100</v>
      </c>
      <c r="N163">
        <v>2.65</v>
      </c>
      <c r="O163" s="7">
        <v>1</v>
      </c>
      <c r="P163">
        <v>0</v>
      </c>
      <c r="Q163" s="8">
        <f t="shared" si="46"/>
        <v>0</v>
      </c>
      <c r="R163" s="8">
        <f t="shared" si="47"/>
        <v>0</v>
      </c>
      <c r="S163" s="8">
        <f t="shared" si="48"/>
        <v>0</v>
      </c>
      <c r="T163">
        <v>0</v>
      </c>
      <c r="U163">
        <v>0</v>
      </c>
      <c r="V163">
        <f t="shared" si="49"/>
        <v>0</v>
      </c>
      <c r="W163">
        <f t="shared" si="50"/>
        <v>0</v>
      </c>
      <c r="X163" t="s">
        <v>36</v>
      </c>
      <c r="Z163" t="s">
        <v>170</v>
      </c>
      <c r="AA163" t="s">
        <v>175</v>
      </c>
      <c r="AB163">
        <v>0</v>
      </c>
      <c r="AC163">
        <v>0</v>
      </c>
      <c r="AD163">
        <v>0</v>
      </c>
      <c r="AE163" t="s">
        <v>135</v>
      </c>
      <c r="AF163">
        <v>1</v>
      </c>
      <c r="AG163">
        <v>1</v>
      </c>
      <c r="AH163">
        <v>0.2</v>
      </c>
      <c r="AI163" s="24"/>
      <c r="AJ163">
        <v>152</v>
      </c>
    </row>
    <row r="164" spans="1:36" x14ac:dyDescent="0.2">
      <c r="A164">
        <f t="shared" si="38"/>
        <v>163</v>
      </c>
      <c r="B164">
        <v>3666</v>
      </c>
      <c r="C164">
        <v>3666</v>
      </c>
      <c r="D164">
        <v>0</v>
      </c>
      <c r="E164" t="s">
        <v>152</v>
      </c>
      <c r="F164" t="s">
        <v>168</v>
      </c>
      <c r="G164" t="s">
        <v>187</v>
      </c>
      <c r="H164">
        <v>3666</v>
      </c>
      <c r="J164">
        <v>76000</v>
      </c>
      <c r="K164" s="11">
        <v>100</v>
      </c>
      <c r="L164" s="11">
        <v>100</v>
      </c>
      <c r="M164" s="11">
        <v>100</v>
      </c>
      <c r="N164">
        <v>2.65</v>
      </c>
      <c r="O164" s="7">
        <v>1</v>
      </c>
      <c r="P164">
        <v>1E-4</v>
      </c>
      <c r="Q164" s="8">
        <f t="shared" si="46"/>
        <v>1E-4</v>
      </c>
      <c r="R164" s="8">
        <f t="shared" si="47"/>
        <v>1E-4</v>
      </c>
      <c r="S164" s="8">
        <f t="shared" si="48"/>
        <v>1E-4</v>
      </c>
      <c r="T164">
        <v>0</v>
      </c>
      <c r="U164">
        <v>0</v>
      </c>
      <c r="V164">
        <f t="shared" si="49"/>
        <v>0</v>
      </c>
      <c r="W164">
        <f t="shared" si="50"/>
        <v>0</v>
      </c>
      <c r="X164" t="s">
        <v>117</v>
      </c>
      <c r="Z164">
        <v>7</v>
      </c>
      <c r="AA164">
        <v>0.97099999999999997</v>
      </c>
      <c r="AB164">
        <v>0</v>
      </c>
      <c r="AC164">
        <v>0</v>
      </c>
      <c r="AD164">
        <v>0</v>
      </c>
      <c r="AE164" t="s">
        <v>135</v>
      </c>
      <c r="AF164">
        <v>1</v>
      </c>
      <c r="AG164">
        <v>1</v>
      </c>
      <c r="AH164">
        <v>0.2</v>
      </c>
      <c r="AI164" s="24"/>
      <c r="AJ164">
        <v>153</v>
      </c>
    </row>
    <row r="165" spans="1:36" x14ac:dyDescent="0.2">
      <c r="A165">
        <f t="shared" si="38"/>
        <v>164</v>
      </c>
      <c r="B165">
        <v>3736</v>
      </c>
      <c r="C165">
        <v>3736</v>
      </c>
      <c r="D165">
        <v>0</v>
      </c>
      <c r="E165" t="s">
        <v>152</v>
      </c>
      <c r="F165" t="s">
        <v>168</v>
      </c>
      <c r="G165" t="s">
        <v>188</v>
      </c>
      <c r="H165">
        <v>3736</v>
      </c>
      <c r="J165">
        <v>22000</v>
      </c>
      <c r="K165" s="11">
        <v>100</v>
      </c>
      <c r="L165" s="11">
        <v>100</v>
      </c>
      <c r="M165" s="11">
        <v>100</v>
      </c>
      <c r="N165">
        <v>2.65</v>
      </c>
      <c r="O165" s="7">
        <v>1</v>
      </c>
      <c r="P165">
        <v>2.9999999999999997E-4</v>
      </c>
      <c r="Q165" s="8">
        <f t="shared" si="46"/>
        <v>2.9999999999999997E-4</v>
      </c>
      <c r="R165" s="8">
        <f t="shared" si="47"/>
        <v>2.9999999999999997E-4</v>
      </c>
      <c r="S165" s="8">
        <f t="shared" si="48"/>
        <v>2.9999999999999997E-4</v>
      </c>
      <c r="T165">
        <v>0</v>
      </c>
      <c r="U165">
        <v>0</v>
      </c>
      <c r="V165">
        <f t="shared" si="49"/>
        <v>0</v>
      </c>
      <c r="W165">
        <f t="shared" si="50"/>
        <v>0</v>
      </c>
      <c r="X165" t="s">
        <v>37</v>
      </c>
      <c r="Z165">
        <v>3</v>
      </c>
      <c r="AA165">
        <v>0.96499999999999997</v>
      </c>
      <c r="AB165">
        <v>0</v>
      </c>
      <c r="AC165">
        <v>0</v>
      </c>
      <c r="AD165">
        <v>0</v>
      </c>
      <c r="AE165" t="s">
        <v>135</v>
      </c>
      <c r="AF165">
        <v>1</v>
      </c>
      <c r="AG165">
        <v>1</v>
      </c>
      <c r="AH165">
        <v>0.2</v>
      </c>
      <c r="AI165" s="24"/>
      <c r="AJ165">
        <v>154</v>
      </c>
    </row>
    <row r="166" spans="1:36" x14ac:dyDescent="0.2">
      <c r="A166">
        <f t="shared" si="38"/>
        <v>165</v>
      </c>
      <c r="B166">
        <v>3738</v>
      </c>
      <c r="C166">
        <v>3738</v>
      </c>
      <c r="D166">
        <v>0</v>
      </c>
      <c r="E166" t="s">
        <v>152</v>
      </c>
      <c r="F166" t="s">
        <v>168</v>
      </c>
      <c r="G166" t="s">
        <v>189</v>
      </c>
      <c r="H166">
        <v>3738</v>
      </c>
      <c r="J166">
        <v>57000</v>
      </c>
      <c r="K166" s="11">
        <v>100</v>
      </c>
      <c r="L166" s="11">
        <v>100</v>
      </c>
      <c r="M166" s="11">
        <v>100</v>
      </c>
      <c r="N166">
        <v>2.65</v>
      </c>
      <c r="O166" s="7">
        <v>1</v>
      </c>
      <c r="P166">
        <v>1E-4</v>
      </c>
      <c r="Q166" s="8">
        <f t="shared" si="46"/>
        <v>1E-4</v>
      </c>
      <c r="R166" s="8">
        <f t="shared" si="47"/>
        <v>1E-4</v>
      </c>
      <c r="S166" s="8">
        <f t="shared" si="48"/>
        <v>1E-4</v>
      </c>
      <c r="T166">
        <v>0</v>
      </c>
      <c r="U166">
        <v>0</v>
      </c>
      <c r="V166">
        <f t="shared" si="49"/>
        <v>0</v>
      </c>
      <c r="W166">
        <f t="shared" si="50"/>
        <v>0</v>
      </c>
      <c r="X166" t="s">
        <v>181</v>
      </c>
      <c r="Z166">
        <v>0</v>
      </c>
      <c r="AA166">
        <v>0.96499999999999997</v>
      </c>
      <c r="AB166">
        <v>0</v>
      </c>
      <c r="AC166">
        <v>0</v>
      </c>
      <c r="AD166">
        <v>0</v>
      </c>
      <c r="AE166" t="s">
        <v>135</v>
      </c>
      <c r="AF166">
        <v>1</v>
      </c>
      <c r="AG166">
        <v>1</v>
      </c>
      <c r="AH166">
        <v>0.2</v>
      </c>
      <c r="AI166" s="24"/>
      <c r="AJ166">
        <v>155</v>
      </c>
    </row>
    <row r="167" spans="1:36" x14ac:dyDescent="0.2">
      <c r="A167">
        <f t="shared" si="38"/>
        <v>166</v>
      </c>
      <c r="B167">
        <v>3400</v>
      </c>
      <c r="C167">
        <v>3400</v>
      </c>
      <c r="D167">
        <v>0</v>
      </c>
      <c r="E167" t="s">
        <v>166</v>
      </c>
      <c r="F167" t="s">
        <v>38</v>
      </c>
      <c r="G167" t="s">
        <v>39</v>
      </c>
      <c r="H167">
        <v>3400</v>
      </c>
      <c r="J167">
        <v>13000</v>
      </c>
      <c r="K167">
        <v>100</v>
      </c>
      <c r="L167">
        <v>100</v>
      </c>
      <c r="M167">
        <v>100</v>
      </c>
      <c r="N167">
        <v>1</v>
      </c>
      <c r="O167" s="7">
        <v>0</v>
      </c>
      <c r="P167">
        <v>1.4E-3</v>
      </c>
      <c r="Q167" s="8">
        <f t="shared" si="46"/>
        <v>1.4E-3</v>
      </c>
      <c r="R167" s="8">
        <f t="shared" si="47"/>
        <v>1.4E-3</v>
      </c>
      <c r="S167" s="8">
        <f t="shared" si="48"/>
        <v>1.4E-3</v>
      </c>
      <c r="T167">
        <v>0</v>
      </c>
      <c r="U167">
        <v>0</v>
      </c>
      <c r="V167">
        <f t="shared" si="49"/>
        <v>0</v>
      </c>
      <c r="W167">
        <f t="shared" si="50"/>
        <v>0</v>
      </c>
      <c r="X167" t="s">
        <v>39</v>
      </c>
      <c r="AB167">
        <v>0</v>
      </c>
      <c r="AC167">
        <v>0</v>
      </c>
      <c r="AD167">
        <v>0</v>
      </c>
      <c r="AE167" t="s">
        <v>135</v>
      </c>
      <c r="AF167">
        <v>1</v>
      </c>
      <c r="AG167">
        <v>1</v>
      </c>
      <c r="AH167">
        <v>0.2</v>
      </c>
      <c r="AI167" s="24"/>
      <c r="AJ167">
        <v>156</v>
      </c>
    </row>
    <row r="168" spans="1:36" x14ac:dyDescent="0.2">
      <c r="A168">
        <f t="shared" si="38"/>
        <v>167</v>
      </c>
      <c r="B168">
        <v>3414</v>
      </c>
      <c r="C168">
        <v>3414</v>
      </c>
      <c r="D168">
        <v>0</v>
      </c>
      <c r="E168" t="s">
        <v>166</v>
      </c>
      <c r="F168" t="s">
        <v>38</v>
      </c>
      <c r="G168" t="s">
        <v>39</v>
      </c>
      <c r="H168">
        <v>3414</v>
      </c>
      <c r="J168">
        <v>13000</v>
      </c>
      <c r="K168">
        <v>100</v>
      </c>
      <c r="L168">
        <v>100</v>
      </c>
      <c r="M168">
        <v>100</v>
      </c>
      <c r="N168">
        <v>1</v>
      </c>
      <c r="O168" s="7">
        <v>0</v>
      </c>
      <c r="P168">
        <v>1.4E-3</v>
      </c>
      <c r="Q168" s="8">
        <f t="shared" si="46"/>
        <v>1.4E-3</v>
      </c>
      <c r="R168" s="8">
        <f t="shared" si="47"/>
        <v>1.4E-3</v>
      </c>
      <c r="S168" s="8">
        <f t="shared" si="48"/>
        <v>1.4E-3</v>
      </c>
      <c r="T168">
        <v>0</v>
      </c>
      <c r="U168">
        <v>0</v>
      </c>
      <c r="V168">
        <f t="shared" si="49"/>
        <v>0</v>
      </c>
      <c r="W168">
        <f t="shared" si="50"/>
        <v>0</v>
      </c>
      <c r="X168" t="s">
        <v>39</v>
      </c>
      <c r="AB168">
        <v>0</v>
      </c>
      <c r="AC168">
        <v>0</v>
      </c>
      <c r="AD168">
        <v>0</v>
      </c>
      <c r="AE168" t="s">
        <v>135</v>
      </c>
      <c r="AF168">
        <v>1</v>
      </c>
      <c r="AG168">
        <v>1</v>
      </c>
      <c r="AH168">
        <v>0.2</v>
      </c>
      <c r="AI168" s="24"/>
      <c r="AJ168">
        <v>157</v>
      </c>
    </row>
    <row r="169" spans="1:36" ht="20" customHeight="1" x14ac:dyDescent="0.2">
      <c r="A169">
        <f t="shared" si="38"/>
        <v>168</v>
      </c>
      <c r="B169">
        <v>3420</v>
      </c>
      <c r="C169">
        <v>3420</v>
      </c>
      <c r="D169">
        <v>0</v>
      </c>
      <c r="E169" t="s">
        <v>166</v>
      </c>
      <c r="F169" t="s">
        <v>38</v>
      </c>
      <c r="G169" t="s">
        <v>39</v>
      </c>
      <c r="H169">
        <v>3420</v>
      </c>
      <c r="J169">
        <v>13000</v>
      </c>
      <c r="K169">
        <v>100</v>
      </c>
      <c r="L169">
        <v>100</v>
      </c>
      <c r="M169">
        <v>100</v>
      </c>
      <c r="N169">
        <v>1</v>
      </c>
      <c r="O169" s="7">
        <v>0</v>
      </c>
      <c r="P169">
        <v>1.4E-3</v>
      </c>
      <c r="Q169" s="8">
        <f t="shared" si="46"/>
        <v>1.4E-3</v>
      </c>
      <c r="R169" s="8">
        <f t="shared" si="47"/>
        <v>1.4E-3</v>
      </c>
      <c r="S169" s="8">
        <f t="shared" si="48"/>
        <v>1.4E-3</v>
      </c>
      <c r="T169">
        <v>0</v>
      </c>
      <c r="U169">
        <v>0</v>
      </c>
      <c r="V169">
        <f t="shared" si="49"/>
        <v>0</v>
      </c>
      <c r="W169">
        <f t="shared" si="50"/>
        <v>0</v>
      </c>
      <c r="X169" t="s">
        <v>39</v>
      </c>
      <c r="AB169">
        <v>0</v>
      </c>
      <c r="AC169">
        <v>0</v>
      </c>
      <c r="AD169">
        <v>0</v>
      </c>
      <c r="AE169" t="s">
        <v>135</v>
      </c>
      <c r="AF169">
        <v>1</v>
      </c>
      <c r="AG169">
        <v>1</v>
      </c>
      <c r="AH169">
        <v>0.2</v>
      </c>
      <c r="AI169" s="24"/>
      <c r="AJ169">
        <v>158</v>
      </c>
    </row>
    <row r="170" spans="1:36" ht="20" customHeight="1" x14ac:dyDescent="0.2">
      <c r="A170">
        <f t="shared" si="38"/>
        <v>169</v>
      </c>
      <c r="B170" s="10">
        <v>3490</v>
      </c>
      <c r="C170" s="10">
        <v>3490</v>
      </c>
      <c r="D170">
        <v>0</v>
      </c>
      <c r="E170" t="s">
        <v>166</v>
      </c>
      <c r="F170" t="s">
        <v>38</v>
      </c>
      <c r="G170" t="s">
        <v>194</v>
      </c>
      <c r="H170" s="10">
        <v>3490</v>
      </c>
      <c r="I170">
        <f>J170*410</f>
        <v>33210</v>
      </c>
      <c r="J170">
        <v>81</v>
      </c>
      <c r="K170">
        <v>100</v>
      </c>
      <c r="L170">
        <v>100</v>
      </c>
      <c r="M170">
        <v>100</v>
      </c>
      <c r="N170">
        <v>1</v>
      </c>
      <c r="O170" s="7">
        <v>0</v>
      </c>
      <c r="P170" s="8">
        <f>(18.01528/($N170*$I170)*1000)</f>
        <v>0.54246552243300217</v>
      </c>
      <c r="Q170" s="8">
        <f t="shared" si="46"/>
        <v>0.54246552243300217</v>
      </c>
      <c r="R170" s="8">
        <f t="shared" si="47"/>
        <v>0.54246552243300217</v>
      </c>
      <c r="S170" s="8">
        <f t="shared" si="48"/>
        <v>0.54246552243300217</v>
      </c>
      <c r="T170">
        <v>0</v>
      </c>
      <c r="U170">
        <v>0</v>
      </c>
      <c r="V170">
        <f>IF(T170=0,0,-(C170-T170))</f>
        <v>0</v>
      </c>
      <c r="W170">
        <f>IF(U170=0,0,(U170-C170))</f>
        <v>0</v>
      </c>
      <c r="X170" t="s">
        <v>167</v>
      </c>
      <c r="AB170">
        <v>0</v>
      </c>
      <c r="AC170">
        <v>0</v>
      </c>
      <c r="AD170">
        <v>0</v>
      </c>
      <c r="AE170" t="s">
        <v>135</v>
      </c>
      <c r="AF170">
        <v>1</v>
      </c>
      <c r="AG170">
        <v>1</v>
      </c>
      <c r="AH170">
        <v>0.2</v>
      </c>
      <c r="AI170" s="24"/>
      <c r="AJ170">
        <v>159</v>
      </c>
    </row>
    <row r="171" spans="1:36" ht="20" customHeight="1" x14ac:dyDescent="0.2">
      <c r="A171">
        <f t="shared" si="38"/>
        <v>170</v>
      </c>
      <c r="B171" s="10">
        <v>3280</v>
      </c>
      <c r="C171" s="10">
        <v>3280</v>
      </c>
      <c r="D171">
        <v>0</v>
      </c>
      <c r="E171" t="s">
        <v>166</v>
      </c>
      <c r="F171" t="s">
        <v>38</v>
      </c>
      <c r="G171" t="s">
        <v>195</v>
      </c>
      <c r="H171" s="10">
        <v>3280</v>
      </c>
      <c r="I171">
        <f>J171*410</f>
        <v>33210</v>
      </c>
      <c r="J171">
        <v>81</v>
      </c>
      <c r="K171">
        <v>100</v>
      </c>
      <c r="L171">
        <v>100</v>
      </c>
      <c r="M171">
        <v>100</v>
      </c>
      <c r="N171">
        <v>1</v>
      </c>
      <c r="O171" s="7">
        <v>0</v>
      </c>
      <c r="P171" s="8">
        <f>(18.01528/($N171*$I171)*1000)</f>
        <v>0.54246552243300217</v>
      </c>
      <c r="Q171" s="8">
        <f t="shared" si="46"/>
        <v>0.54246552243300217</v>
      </c>
      <c r="R171" s="8">
        <f t="shared" si="47"/>
        <v>0.54246552243300217</v>
      </c>
      <c r="S171" s="8">
        <f t="shared" si="48"/>
        <v>0.54246552243300217</v>
      </c>
      <c r="T171">
        <v>0</v>
      </c>
      <c r="U171">
        <v>0</v>
      </c>
      <c r="V171">
        <f>IF(T171=0,0,-(C171-T171))</f>
        <v>0</v>
      </c>
      <c r="W171">
        <f>IF(U171=0,0,(U171-C171))</f>
        <v>0</v>
      </c>
      <c r="X171" t="s">
        <v>167</v>
      </c>
      <c r="AB171">
        <v>0</v>
      </c>
      <c r="AC171">
        <v>0</v>
      </c>
      <c r="AD171">
        <v>0</v>
      </c>
      <c r="AE171" t="s">
        <v>135</v>
      </c>
      <c r="AF171">
        <v>1</v>
      </c>
      <c r="AG171">
        <v>1</v>
      </c>
      <c r="AH171">
        <v>0.2</v>
      </c>
      <c r="AI171" s="24"/>
      <c r="AJ171">
        <v>160</v>
      </c>
    </row>
    <row r="172" spans="1:36" s="17" customFormat="1" x14ac:dyDescent="0.2">
      <c r="A172">
        <f t="shared" si="38"/>
        <v>171</v>
      </c>
      <c r="B172" s="17">
        <v>3610</v>
      </c>
      <c r="C172" s="17">
        <v>3610</v>
      </c>
      <c r="D172">
        <v>0</v>
      </c>
      <c r="E172" s="17" t="s">
        <v>196</v>
      </c>
      <c r="F172" s="17" t="s">
        <v>197</v>
      </c>
      <c r="G172" t="s">
        <v>200</v>
      </c>
      <c r="H172" s="17">
        <v>3610</v>
      </c>
      <c r="O172" s="18"/>
      <c r="P172" s="19"/>
      <c r="Q172" s="19"/>
      <c r="R172" s="19"/>
      <c r="S172" s="19"/>
      <c r="AB172">
        <v>1</v>
      </c>
      <c r="AC172">
        <v>0</v>
      </c>
      <c r="AD172">
        <v>0</v>
      </c>
      <c r="AE172" s="20" t="s">
        <v>135</v>
      </c>
      <c r="AF172" s="17">
        <v>1</v>
      </c>
      <c r="AG172" s="17">
        <v>1</v>
      </c>
      <c r="AH172" s="17">
        <v>0.2</v>
      </c>
      <c r="AI172" s="11"/>
      <c r="AJ172" s="17">
        <v>161</v>
      </c>
    </row>
    <row r="173" spans="1:36" s="13" customFormat="1" x14ac:dyDescent="0.2">
      <c r="A173">
        <f t="shared" si="38"/>
        <v>172</v>
      </c>
      <c r="B173" s="13">
        <v>3518</v>
      </c>
      <c r="C173" s="13">
        <v>3518</v>
      </c>
      <c r="D173">
        <v>0</v>
      </c>
      <c r="E173" s="13" t="s">
        <v>196</v>
      </c>
      <c r="F173" s="13" t="s">
        <v>197</v>
      </c>
      <c r="G173" t="s">
        <v>210</v>
      </c>
      <c r="H173" s="13">
        <v>3518</v>
      </c>
      <c r="AB173">
        <v>7.4499999999999997E-2</v>
      </c>
      <c r="AC173">
        <v>0.62350000000000005</v>
      </c>
      <c r="AD173">
        <v>1</v>
      </c>
      <c r="AE173" s="3" t="s">
        <v>135</v>
      </c>
      <c r="AF173">
        <v>1</v>
      </c>
      <c r="AG173">
        <v>1</v>
      </c>
      <c r="AH173">
        <v>0.2</v>
      </c>
      <c r="AI173" s="35"/>
      <c r="AJ173" s="13">
        <v>162</v>
      </c>
    </row>
    <row r="174" spans="1:36" s="13" customFormat="1" x14ac:dyDescent="0.2">
      <c r="A174">
        <f t="shared" si="38"/>
        <v>173</v>
      </c>
      <c r="B174" s="13">
        <v>3454</v>
      </c>
      <c r="C174" s="13">
        <v>3454</v>
      </c>
      <c r="D174">
        <v>0</v>
      </c>
      <c r="E174" s="13" t="s">
        <v>196</v>
      </c>
      <c r="F174" s="13" t="s">
        <v>197</v>
      </c>
      <c r="G174" t="s">
        <v>208</v>
      </c>
      <c r="H174" s="13">
        <v>3454</v>
      </c>
      <c r="AB174">
        <v>7.4499999999999997E-2</v>
      </c>
      <c r="AC174">
        <v>0.62350000000000005</v>
      </c>
      <c r="AD174">
        <v>1</v>
      </c>
      <c r="AE174" s="3" t="s">
        <v>135</v>
      </c>
      <c r="AF174">
        <v>1</v>
      </c>
      <c r="AG174">
        <v>1</v>
      </c>
      <c r="AH174">
        <v>0.2</v>
      </c>
      <c r="AI174" s="35"/>
      <c r="AJ174" s="13">
        <v>163</v>
      </c>
    </row>
    <row r="175" spans="1:36" s="6" customFormat="1" x14ac:dyDescent="0.2">
      <c r="A175">
        <f t="shared" si="38"/>
        <v>174</v>
      </c>
      <c r="B175" s="6">
        <v>3428</v>
      </c>
      <c r="C175" s="6">
        <v>3428</v>
      </c>
      <c r="D175">
        <v>0</v>
      </c>
      <c r="E175" s="6" t="s">
        <v>196</v>
      </c>
      <c r="F175" s="6" t="s">
        <v>197</v>
      </c>
      <c r="G175" t="s">
        <v>31</v>
      </c>
      <c r="H175" s="6">
        <v>3428</v>
      </c>
      <c r="O175" s="21"/>
      <c r="P175" s="22"/>
      <c r="Q175" s="22"/>
      <c r="R175" s="22"/>
      <c r="S175" s="22"/>
      <c r="AB175" s="6">
        <v>0.5</v>
      </c>
      <c r="AC175" s="6">
        <v>0.9</v>
      </c>
      <c r="AD175" s="6">
        <v>0.35</v>
      </c>
      <c r="AE175" s="23" t="s">
        <v>135</v>
      </c>
      <c r="AF175" s="6">
        <v>1</v>
      </c>
      <c r="AG175" s="6">
        <v>1</v>
      </c>
      <c r="AH175" s="6">
        <v>0.2</v>
      </c>
      <c r="AI175" s="25"/>
      <c r="AJ175" s="6">
        <v>164</v>
      </c>
    </row>
    <row r="176" spans="1:36" x14ac:dyDescent="0.2">
      <c r="A176">
        <f t="shared" si="38"/>
        <v>175</v>
      </c>
      <c r="B176">
        <v>2037</v>
      </c>
      <c r="C176">
        <v>2037</v>
      </c>
      <c r="D176">
        <v>0</v>
      </c>
      <c r="E176" t="s">
        <v>196</v>
      </c>
      <c r="F176" t="s">
        <v>197</v>
      </c>
      <c r="G176" t="s">
        <v>199</v>
      </c>
      <c r="H176">
        <v>2037</v>
      </c>
      <c r="AB176">
        <v>0.63529999999999998</v>
      </c>
      <c r="AC176">
        <v>0</v>
      </c>
      <c r="AD176">
        <v>0</v>
      </c>
      <c r="AE176" s="3" t="s">
        <v>135</v>
      </c>
      <c r="AF176">
        <v>1</v>
      </c>
      <c r="AG176">
        <v>1</v>
      </c>
      <c r="AH176">
        <v>0.2</v>
      </c>
      <c r="AI176" s="42"/>
      <c r="AJ176">
        <v>165</v>
      </c>
    </row>
    <row r="177" spans="1:36" x14ac:dyDescent="0.2">
      <c r="A177">
        <f t="shared" si="38"/>
        <v>176</v>
      </c>
      <c r="B177">
        <v>1935</v>
      </c>
      <c r="C177">
        <v>1935</v>
      </c>
      <c r="D177">
        <v>0</v>
      </c>
      <c r="E177" t="s">
        <v>196</v>
      </c>
      <c r="F177" t="s">
        <v>197</v>
      </c>
      <c r="G177" t="s">
        <v>198</v>
      </c>
      <c r="H177">
        <v>1935</v>
      </c>
      <c r="AB177">
        <v>0.4</v>
      </c>
      <c r="AC177">
        <v>0.40392</v>
      </c>
      <c r="AD177">
        <v>0.4</v>
      </c>
      <c r="AE177" s="3" t="s">
        <v>135</v>
      </c>
      <c r="AF177">
        <v>1</v>
      </c>
      <c r="AG177">
        <v>1</v>
      </c>
      <c r="AH177">
        <v>0.2</v>
      </c>
      <c r="AI177" s="33"/>
      <c r="AJ177">
        <v>166</v>
      </c>
    </row>
    <row r="178" spans="1:36" x14ac:dyDescent="0.2">
      <c r="A178">
        <f t="shared" si="38"/>
        <v>177</v>
      </c>
      <c r="B178">
        <v>1921</v>
      </c>
      <c r="C178">
        <v>1921</v>
      </c>
      <c r="D178">
        <v>0</v>
      </c>
      <c r="E178" t="s">
        <v>196</v>
      </c>
      <c r="F178" t="s">
        <v>197</v>
      </c>
      <c r="G178" t="s">
        <v>198</v>
      </c>
      <c r="H178">
        <v>1921</v>
      </c>
      <c r="AB178">
        <v>0.4</v>
      </c>
      <c r="AC178">
        <v>0.40392</v>
      </c>
      <c r="AD178">
        <v>0.4</v>
      </c>
      <c r="AE178" s="3" t="s">
        <v>135</v>
      </c>
      <c r="AF178">
        <v>1</v>
      </c>
      <c r="AG178">
        <v>1</v>
      </c>
      <c r="AH178">
        <v>0.2</v>
      </c>
      <c r="AI178" s="33"/>
      <c r="AJ178">
        <v>167</v>
      </c>
    </row>
    <row r="179" spans="1:36" ht="17" customHeight="1" x14ac:dyDescent="0.2">
      <c r="A179">
        <f t="shared" si="38"/>
        <v>178</v>
      </c>
      <c r="B179">
        <v>1878</v>
      </c>
      <c r="C179">
        <v>1878</v>
      </c>
      <c r="D179">
        <v>0</v>
      </c>
      <c r="E179" t="s">
        <v>196</v>
      </c>
      <c r="F179" t="s">
        <v>197</v>
      </c>
      <c r="G179" t="s">
        <v>198</v>
      </c>
      <c r="H179">
        <v>1878</v>
      </c>
      <c r="AB179">
        <v>0.7</v>
      </c>
      <c r="AC179">
        <v>0.3</v>
      </c>
      <c r="AD179">
        <v>0.1</v>
      </c>
      <c r="AE179" s="3" t="s">
        <v>135</v>
      </c>
      <c r="AF179">
        <v>1</v>
      </c>
      <c r="AG179">
        <v>1</v>
      </c>
      <c r="AH179">
        <v>0.2</v>
      </c>
      <c r="AI179" s="41"/>
      <c r="AJ179">
        <v>168</v>
      </c>
    </row>
    <row r="180" spans="1:36" x14ac:dyDescent="0.2">
      <c r="A180">
        <f t="shared" si="38"/>
        <v>179</v>
      </c>
      <c r="B180">
        <v>1748</v>
      </c>
      <c r="C180">
        <v>1748</v>
      </c>
      <c r="D180">
        <v>0</v>
      </c>
      <c r="E180" t="s">
        <v>196</v>
      </c>
      <c r="F180" t="s">
        <v>197</v>
      </c>
      <c r="G180" t="s">
        <v>198</v>
      </c>
      <c r="H180">
        <v>1748</v>
      </c>
      <c r="AB180">
        <v>1</v>
      </c>
      <c r="AC180">
        <v>0.4</v>
      </c>
      <c r="AD180">
        <v>0.1</v>
      </c>
      <c r="AE180" s="3" t="s">
        <v>135</v>
      </c>
      <c r="AF180">
        <v>1</v>
      </c>
      <c r="AG180">
        <v>1</v>
      </c>
      <c r="AH180">
        <v>0.2</v>
      </c>
      <c r="AI180" s="40"/>
      <c r="AJ180">
        <v>169</v>
      </c>
    </row>
    <row r="181" spans="1:36" x14ac:dyDescent="0.2">
      <c r="A181">
        <f t="shared" si="38"/>
        <v>180</v>
      </c>
      <c r="B181">
        <v>1711</v>
      </c>
      <c r="C181">
        <v>1711</v>
      </c>
      <c r="D181">
        <v>0</v>
      </c>
      <c r="E181" t="s">
        <v>196</v>
      </c>
      <c r="F181" t="s">
        <v>197</v>
      </c>
      <c r="G181" t="s">
        <v>198</v>
      </c>
      <c r="H181">
        <v>1711</v>
      </c>
      <c r="AB181">
        <v>1</v>
      </c>
      <c r="AC181">
        <v>0.4</v>
      </c>
      <c r="AD181">
        <v>0.1</v>
      </c>
      <c r="AE181" s="3" t="s">
        <v>135</v>
      </c>
      <c r="AF181">
        <v>1</v>
      </c>
      <c r="AG181">
        <v>1</v>
      </c>
      <c r="AH181">
        <v>0.2</v>
      </c>
      <c r="AI181" s="40"/>
      <c r="AJ181">
        <v>170</v>
      </c>
    </row>
    <row r="182" spans="1:36" x14ac:dyDescent="0.2">
      <c r="A182">
        <f t="shared" si="38"/>
        <v>181</v>
      </c>
      <c r="B182">
        <v>1689</v>
      </c>
      <c r="C182">
        <v>1689</v>
      </c>
      <c r="D182">
        <v>0</v>
      </c>
      <c r="E182" t="s">
        <v>196</v>
      </c>
      <c r="F182" t="s">
        <v>197</v>
      </c>
      <c r="G182" t="s">
        <v>198</v>
      </c>
      <c r="H182">
        <v>1689</v>
      </c>
      <c r="AB182">
        <v>1</v>
      </c>
      <c r="AC182">
        <v>0.4</v>
      </c>
      <c r="AD182">
        <v>0.1</v>
      </c>
      <c r="AE182" s="3" t="s">
        <v>135</v>
      </c>
      <c r="AF182">
        <v>1</v>
      </c>
      <c r="AG182">
        <v>1</v>
      </c>
      <c r="AH182">
        <v>0.2</v>
      </c>
      <c r="AI182" s="40"/>
      <c r="AJ182">
        <v>171</v>
      </c>
    </row>
    <row r="183" spans="1:36" x14ac:dyDescent="0.2">
      <c r="A183">
        <f t="shared" si="38"/>
        <v>182</v>
      </c>
      <c r="B183">
        <v>1631</v>
      </c>
      <c r="C183">
        <v>1631</v>
      </c>
      <c r="D183">
        <v>0</v>
      </c>
      <c r="E183" t="s">
        <v>196</v>
      </c>
      <c r="F183" t="s">
        <v>197</v>
      </c>
      <c r="G183" t="s">
        <v>198</v>
      </c>
      <c r="H183">
        <v>1631</v>
      </c>
      <c r="AB183">
        <v>0.80391999999999997</v>
      </c>
      <c r="AC183">
        <v>0</v>
      </c>
      <c r="AD183">
        <v>0</v>
      </c>
      <c r="AE183" s="3" t="s">
        <v>135</v>
      </c>
      <c r="AF183">
        <v>1</v>
      </c>
      <c r="AG183">
        <v>1</v>
      </c>
      <c r="AH183">
        <v>0.2</v>
      </c>
      <c r="AI183" s="29"/>
      <c r="AJ183">
        <v>172</v>
      </c>
    </row>
    <row r="184" spans="1:36" x14ac:dyDescent="0.2">
      <c r="A184">
        <f t="shared" si="38"/>
        <v>183</v>
      </c>
      <c r="B184">
        <v>1584</v>
      </c>
      <c r="C184">
        <v>1584</v>
      </c>
      <c r="D184">
        <v>0</v>
      </c>
      <c r="E184" t="s">
        <v>196</v>
      </c>
      <c r="F184" t="s">
        <v>197</v>
      </c>
      <c r="G184" t="s">
        <v>198</v>
      </c>
      <c r="H184">
        <v>1584</v>
      </c>
      <c r="AB184">
        <v>0.80391999999999997</v>
      </c>
      <c r="AC184">
        <v>0</v>
      </c>
      <c r="AD184">
        <v>0</v>
      </c>
      <c r="AE184" s="3" t="s">
        <v>135</v>
      </c>
      <c r="AF184">
        <v>1</v>
      </c>
      <c r="AG184">
        <v>1</v>
      </c>
      <c r="AH184">
        <v>0.2</v>
      </c>
      <c r="AI184" s="29"/>
      <c r="AJ184">
        <v>173</v>
      </c>
    </row>
    <row r="185" spans="1:36" x14ac:dyDescent="0.2">
      <c r="A185">
        <f t="shared" si="38"/>
        <v>184</v>
      </c>
      <c r="B185">
        <v>1479</v>
      </c>
      <c r="C185">
        <f>B185</f>
        <v>1479</v>
      </c>
      <c r="D185">
        <v>0</v>
      </c>
      <c r="E185" t="s">
        <v>196</v>
      </c>
      <c r="F185" t="s">
        <v>197</v>
      </c>
      <c r="G185" t="s">
        <v>198</v>
      </c>
      <c r="H185">
        <f>C185</f>
        <v>1479</v>
      </c>
      <c r="AB185">
        <v>0.63529999999999998</v>
      </c>
      <c r="AC185">
        <v>7.8399999999999997E-2</v>
      </c>
      <c r="AD185">
        <v>0.18429999999999999</v>
      </c>
      <c r="AE185" s="3" t="s">
        <v>135</v>
      </c>
      <c r="AF185">
        <v>1</v>
      </c>
      <c r="AG185">
        <v>1</v>
      </c>
      <c r="AH185">
        <v>0.2</v>
      </c>
      <c r="AI185" s="39"/>
      <c r="AJ185">
        <v>174</v>
      </c>
    </row>
    <row r="186" spans="1:36" x14ac:dyDescent="0.2">
      <c r="A186">
        <f t="shared" si="38"/>
        <v>185</v>
      </c>
      <c r="B186">
        <v>1351</v>
      </c>
      <c r="C186">
        <f>B186</f>
        <v>1351</v>
      </c>
      <c r="D186">
        <v>0</v>
      </c>
      <c r="E186" t="s">
        <v>196</v>
      </c>
      <c r="F186" t="s">
        <v>197</v>
      </c>
      <c r="G186" t="s">
        <v>198</v>
      </c>
      <c r="H186">
        <f>C186</f>
        <v>1351</v>
      </c>
      <c r="AB186">
        <v>0</v>
      </c>
      <c r="AC186">
        <v>0</v>
      </c>
      <c r="AD186">
        <v>0</v>
      </c>
      <c r="AE186" s="3" t="s">
        <v>135</v>
      </c>
      <c r="AF186">
        <v>1</v>
      </c>
      <c r="AG186">
        <v>1</v>
      </c>
      <c r="AH186">
        <v>0.2</v>
      </c>
      <c r="AI186" s="24"/>
      <c r="AJ186">
        <v>175</v>
      </c>
    </row>
    <row r="187" spans="1:36" x14ac:dyDescent="0.2">
      <c r="A187">
        <f t="shared" si="38"/>
        <v>186</v>
      </c>
      <c r="B187" s="17">
        <v>3612</v>
      </c>
      <c r="C187" s="17">
        <v>2165</v>
      </c>
      <c r="D187">
        <v>0</v>
      </c>
      <c r="E187" s="17" t="s">
        <v>196</v>
      </c>
      <c r="F187" s="17" t="s">
        <v>201</v>
      </c>
      <c r="G187" t="s">
        <v>200</v>
      </c>
      <c r="H187" s="17">
        <v>3612</v>
      </c>
      <c r="I187" s="17"/>
      <c r="J187" s="17"/>
      <c r="K187" s="17"/>
      <c r="L187" s="17"/>
      <c r="M187" s="17"/>
      <c r="N187" s="17"/>
      <c r="O187" s="18"/>
      <c r="P187" s="19"/>
      <c r="Q187" s="19"/>
      <c r="R187" s="19"/>
      <c r="S187" s="19"/>
      <c r="T187" s="17"/>
      <c r="U187" s="17"/>
      <c r="V187" s="17"/>
      <c r="W187" s="17"/>
      <c r="X187" s="17"/>
      <c r="Y187" s="17"/>
      <c r="Z187" s="17"/>
      <c r="AA187" s="17"/>
      <c r="AB187">
        <v>1</v>
      </c>
      <c r="AC187">
        <v>0</v>
      </c>
      <c r="AD187">
        <v>0</v>
      </c>
      <c r="AE187" s="20" t="s">
        <v>135</v>
      </c>
      <c r="AF187" s="17">
        <v>1</v>
      </c>
      <c r="AG187" s="17">
        <v>1</v>
      </c>
      <c r="AH187" s="17">
        <v>0.2</v>
      </c>
      <c r="AI187" s="11"/>
      <c r="AJ187" s="17">
        <v>176</v>
      </c>
    </row>
    <row r="188" spans="1:36" x14ac:dyDescent="0.2">
      <c r="A188">
        <f t="shared" si="38"/>
        <v>187</v>
      </c>
      <c r="B188" s="13">
        <v>3540</v>
      </c>
      <c r="C188" s="13">
        <v>2165</v>
      </c>
      <c r="D188">
        <v>0</v>
      </c>
      <c r="E188" s="13" t="s">
        <v>196</v>
      </c>
      <c r="F188" s="13" t="s">
        <v>201</v>
      </c>
      <c r="G188" t="s">
        <v>208</v>
      </c>
      <c r="H188" s="13">
        <v>3540</v>
      </c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>
        <v>7.4499999999999997E-2</v>
      </c>
      <c r="AC188">
        <v>0.62350000000000005</v>
      </c>
      <c r="AD188">
        <v>1</v>
      </c>
      <c r="AE188" s="3" t="s">
        <v>135</v>
      </c>
      <c r="AF188">
        <v>1</v>
      </c>
      <c r="AG188">
        <v>1</v>
      </c>
      <c r="AH188">
        <v>0.2</v>
      </c>
      <c r="AI188" s="35"/>
      <c r="AJ188" s="13">
        <v>177</v>
      </c>
    </row>
    <row r="189" spans="1:36" s="17" customFormat="1" x14ac:dyDescent="0.2">
      <c r="A189">
        <f t="shared" si="38"/>
        <v>188</v>
      </c>
      <c r="B189" s="13">
        <v>3465</v>
      </c>
      <c r="C189" s="13">
        <v>2165</v>
      </c>
      <c r="D189">
        <v>0</v>
      </c>
      <c r="E189" s="13" t="s">
        <v>196</v>
      </c>
      <c r="F189" s="13" t="s">
        <v>201</v>
      </c>
      <c r="G189" t="s">
        <v>208</v>
      </c>
      <c r="H189" s="13">
        <v>3465</v>
      </c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>
        <v>7.4499999999999997E-2</v>
      </c>
      <c r="AC189">
        <v>0.62350000000000005</v>
      </c>
      <c r="AD189">
        <v>1</v>
      </c>
      <c r="AE189" s="3" t="s">
        <v>135</v>
      </c>
      <c r="AF189">
        <v>1</v>
      </c>
      <c r="AG189">
        <v>1</v>
      </c>
      <c r="AH189">
        <v>0.2</v>
      </c>
      <c r="AI189" s="35"/>
      <c r="AJ189" s="13">
        <v>178</v>
      </c>
    </row>
    <row r="190" spans="1:36" s="13" customFormat="1" x14ac:dyDescent="0.2">
      <c r="A190">
        <f t="shared" si="38"/>
        <v>189</v>
      </c>
      <c r="B190" s="6">
        <v>3428</v>
      </c>
      <c r="C190" s="6">
        <v>2165</v>
      </c>
      <c r="D190">
        <v>0</v>
      </c>
      <c r="E190" s="6" t="s">
        <v>196</v>
      </c>
      <c r="F190" s="6" t="s">
        <v>201</v>
      </c>
      <c r="G190" t="s">
        <v>31</v>
      </c>
      <c r="H190" s="6">
        <v>3428</v>
      </c>
      <c r="I190" s="6"/>
      <c r="J190" s="6"/>
      <c r="K190" s="6"/>
      <c r="L190" s="6"/>
      <c r="M190" s="6"/>
      <c r="N190" s="6"/>
      <c r="O190" s="21"/>
      <c r="P190" s="22"/>
      <c r="Q190" s="22"/>
      <c r="R190" s="22"/>
      <c r="S190" s="22"/>
      <c r="T190" s="6"/>
      <c r="U190" s="6"/>
      <c r="V190" s="6"/>
      <c r="W190" s="6"/>
      <c r="X190" s="6"/>
      <c r="Y190" s="6"/>
      <c r="Z190" s="6"/>
      <c r="AA190" s="6"/>
      <c r="AB190" s="6">
        <v>0.5</v>
      </c>
      <c r="AC190" s="6">
        <v>0.9</v>
      </c>
      <c r="AD190" s="6">
        <v>0.35</v>
      </c>
      <c r="AE190" s="6"/>
      <c r="AF190">
        <v>1</v>
      </c>
      <c r="AG190">
        <v>1</v>
      </c>
      <c r="AH190">
        <v>0.2</v>
      </c>
      <c r="AI190" s="25"/>
      <c r="AJ190" s="6">
        <v>179</v>
      </c>
    </row>
    <row r="191" spans="1:36" s="13" customFormat="1" x14ac:dyDescent="0.2">
      <c r="A191">
        <f t="shared" si="38"/>
        <v>190</v>
      </c>
      <c r="B191">
        <v>2165</v>
      </c>
      <c r="C191">
        <v>2165</v>
      </c>
      <c r="D191">
        <v>0</v>
      </c>
      <c r="E191" t="s">
        <v>196</v>
      </c>
      <c r="F191" t="s">
        <v>197</v>
      </c>
      <c r="G191" t="s">
        <v>198</v>
      </c>
      <c r="H191">
        <v>2165</v>
      </c>
      <c r="I191"/>
      <c r="J191"/>
      <c r="K191"/>
      <c r="L191"/>
      <c r="M191"/>
      <c r="N191"/>
      <c r="O191" s="7"/>
      <c r="P191" s="8"/>
      <c r="Q191" s="8"/>
      <c r="R191" s="8"/>
      <c r="S191" s="8"/>
      <c r="T191"/>
      <c r="U191"/>
      <c r="V191"/>
      <c r="W191"/>
      <c r="X191"/>
      <c r="Y191"/>
      <c r="Z191"/>
      <c r="AA191"/>
      <c r="AB191">
        <v>0.14118</v>
      </c>
      <c r="AC191">
        <v>0.54901999999999995</v>
      </c>
      <c r="AD191">
        <v>0.26274999999999998</v>
      </c>
      <c r="AE191" s="3" t="s">
        <v>135</v>
      </c>
      <c r="AF191">
        <v>1</v>
      </c>
      <c r="AG191">
        <v>1</v>
      </c>
      <c r="AH191">
        <v>0.2</v>
      </c>
      <c r="AI191" s="31"/>
      <c r="AJ191">
        <v>180</v>
      </c>
    </row>
    <row r="192" spans="1:36" s="6" customFormat="1" x14ac:dyDescent="0.2">
      <c r="A192">
        <f t="shared" si="38"/>
        <v>191</v>
      </c>
      <c r="B192">
        <v>2165</v>
      </c>
      <c r="C192">
        <v>2165</v>
      </c>
      <c r="D192">
        <v>0</v>
      </c>
      <c r="E192" t="s">
        <v>196</v>
      </c>
      <c r="F192" t="s">
        <v>201</v>
      </c>
      <c r="G192" t="s">
        <v>198</v>
      </c>
      <c r="H192">
        <v>2165</v>
      </c>
      <c r="I192"/>
      <c r="J192"/>
      <c r="K192"/>
      <c r="L192"/>
      <c r="M192"/>
      <c r="N192"/>
      <c r="O192" s="7"/>
      <c r="P192" s="8"/>
      <c r="Q192" s="8"/>
      <c r="R192" s="8"/>
      <c r="S192" s="8"/>
      <c r="T192"/>
      <c r="U192"/>
      <c r="V192"/>
      <c r="W192"/>
      <c r="X192"/>
      <c r="Y192"/>
      <c r="Z192"/>
      <c r="AA192"/>
      <c r="AB192">
        <v>0.14118</v>
      </c>
      <c r="AC192">
        <v>0.54901999999999995</v>
      </c>
      <c r="AD192">
        <v>0.26274999999999998</v>
      </c>
      <c r="AE192" s="3" t="s">
        <v>135</v>
      </c>
      <c r="AF192">
        <v>1</v>
      </c>
      <c r="AG192">
        <v>1</v>
      </c>
      <c r="AH192">
        <v>0.2</v>
      </c>
      <c r="AI192" s="31"/>
      <c r="AJ192">
        <v>180</v>
      </c>
    </row>
    <row r="193" spans="1:36" x14ac:dyDescent="0.2">
      <c r="A193">
        <f t="shared" si="38"/>
        <v>192</v>
      </c>
      <c r="B193">
        <v>2033</v>
      </c>
      <c r="C193">
        <v>2033</v>
      </c>
      <c r="D193">
        <v>0</v>
      </c>
      <c r="E193" t="s">
        <v>196</v>
      </c>
      <c r="F193" t="s">
        <v>201</v>
      </c>
      <c r="G193" t="s">
        <v>198</v>
      </c>
      <c r="H193">
        <v>2033</v>
      </c>
      <c r="AB193">
        <v>0.63529999999999998</v>
      </c>
      <c r="AC193">
        <v>0</v>
      </c>
      <c r="AD193">
        <v>0</v>
      </c>
      <c r="AE193" s="3" t="s">
        <v>135</v>
      </c>
      <c r="AF193">
        <v>1</v>
      </c>
      <c r="AG193">
        <v>1</v>
      </c>
      <c r="AH193">
        <v>0.2</v>
      </c>
      <c r="AI193" s="42"/>
      <c r="AJ193">
        <v>181</v>
      </c>
    </row>
    <row r="194" spans="1:36" x14ac:dyDescent="0.2">
      <c r="A194">
        <f t="shared" si="38"/>
        <v>193</v>
      </c>
      <c r="B194">
        <v>1930</v>
      </c>
      <c r="C194">
        <v>1930</v>
      </c>
      <c r="D194">
        <v>0</v>
      </c>
      <c r="E194" t="s">
        <v>196</v>
      </c>
      <c r="F194" t="s">
        <v>201</v>
      </c>
      <c r="G194" t="s">
        <v>198</v>
      </c>
      <c r="H194">
        <v>1930</v>
      </c>
      <c r="AB194">
        <v>0.4</v>
      </c>
      <c r="AC194">
        <v>0.40392</v>
      </c>
      <c r="AD194">
        <v>0.4</v>
      </c>
      <c r="AE194" s="3" t="s">
        <v>135</v>
      </c>
      <c r="AF194">
        <v>1</v>
      </c>
      <c r="AG194">
        <v>1</v>
      </c>
      <c r="AH194">
        <v>0.2</v>
      </c>
      <c r="AI194" s="33"/>
      <c r="AJ194">
        <v>182</v>
      </c>
    </row>
    <row r="195" spans="1:36" x14ac:dyDescent="0.2">
      <c r="A195">
        <f t="shared" si="38"/>
        <v>194</v>
      </c>
      <c r="B195">
        <v>1921</v>
      </c>
      <c r="C195">
        <v>1921</v>
      </c>
      <c r="D195">
        <v>0</v>
      </c>
      <c r="E195" t="s">
        <v>196</v>
      </c>
      <c r="F195" t="s">
        <v>201</v>
      </c>
      <c r="G195" t="s">
        <v>198</v>
      </c>
      <c r="H195">
        <v>1921</v>
      </c>
      <c r="AB195">
        <v>0.4</v>
      </c>
      <c r="AC195">
        <v>0.40392</v>
      </c>
      <c r="AD195">
        <v>0.4</v>
      </c>
      <c r="AE195" s="3" t="s">
        <v>135</v>
      </c>
      <c r="AF195">
        <v>1</v>
      </c>
      <c r="AG195">
        <v>1</v>
      </c>
      <c r="AH195">
        <v>0.2</v>
      </c>
      <c r="AI195" s="33"/>
      <c r="AJ195">
        <v>183</v>
      </c>
    </row>
    <row r="196" spans="1:36" x14ac:dyDescent="0.2">
      <c r="A196">
        <f t="shared" ref="A196:A259" si="51">A195+1</f>
        <v>195</v>
      </c>
      <c r="B196">
        <v>1736</v>
      </c>
      <c r="C196">
        <v>1736</v>
      </c>
      <c r="D196">
        <v>0</v>
      </c>
      <c r="E196" t="s">
        <v>196</v>
      </c>
      <c r="F196" t="s">
        <v>201</v>
      </c>
      <c r="G196" t="s">
        <v>198</v>
      </c>
      <c r="H196">
        <v>1736</v>
      </c>
      <c r="AB196">
        <v>1</v>
      </c>
      <c r="AC196">
        <v>0.4</v>
      </c>
      <c r="AD196">
        <v>0.1</v>
      </c>
      <c r="AE196" s="3" t="s">
        <v>135</v>
      </c>
      <c r="AF196">
        <v>1</v>
      </c>
      <c r="AG196">
        <v>1</v>
      </c>
      <c r="AH196">
        <v>0.2</v>
      </c>
      <c r="AI196" s="40"/>
      <c r="AJ196">
        <v>184</v>
      </c>
    </row>
    <row r="197" spans="1:36" x14ac:dyDescent="0.2">
      <c r="A197">
        <f t="shared" si="51"/>
        <v>196</v>
      </c>
      <c r="B197">
        <v>1689</v>
      </c>
      <c r="C197">
        <v>1689</v>
      </c>
      <c r="D197">
        <v>0</v>
      </c>
      <c r="E197" t="s">
        <v>196</v>
      </c>
      <c r="F197" t="s">
        <v>201</v>
      </c>
      <c r="G197" t="s">
        <v>198</v>
      </c>
      <c r="H197">
        <v>1689</v>
      </c>
      <c r="AB197">
        <v>1</v>
      </c>
      <c r="AC197">
        <v>0.4</v>
      </c>
      <c r="AD197">
        <v>0.1</v>
      </c>
      <c r="AE197" s="3" t="s">
        <v>135</v>
      </c>
      <c r="AF197">
        <v>1</v>
      </c>
      <c r="AG197">
        <v>1</v>
      </c>
      <c r="AH197">
        <v>0.2</v>
      </c>
      <c r="AI197" s="40"/>
      <c r="AJ197">
        <v>185</v>
      </c>
    </row>
    <row r="198" spans="1:36" x14ac:dyDescent="0.2">
      <c r="A198">
        <f t="shared" si="51"/>
        <v>197</v>
      </c>
      <c r="B198">
        <v>1630</v>
      </c>
      <c r="C198">
        <v>1630</v>
      </c>
      <c r="D198">
        <v>0</v>
      </c>
      <c r="E198" t="s">
        <v>196</v>
      </c>
      <c r="F198" t="s">
        <v>201</v>
      </c>
      <c r="G198" t="s">
        <v>198</v>
      </c>
      <c r="H198">
        <v>1630</v>
      </c>
      <c r="AB198">
        <v>0.80391999999999997</v>
      </c>
      <c r="AC198">
        <v>0</v>
      </c>
      <c r="AD198">
        <v>0</v>
      </c>
      <c r="AE198" s="3" t="s">
        <v>135</v>
      </c>
      <c r="AF198">
        <v>1</v>
      </c>
      <c r="AG198">
        <v>1</v>
      </c>
      <c r="AH198">
        <v>0.2</v>
      </c>
      <c r="AI198" s="29"/>
      <c r="AJ198">
        <v>186</v>
      </c>
    </row>
    <row r="199" spans="1:36" x14ac:dyDescent="0.2">
      <c r="A199">
        <f t="shared" si="51"/>
        <v>198</v>
      </c>
      <c r="B199" s="13">
        <v>3514</v>
      </c>
      <c r="C199" s="13">
        <v>3514</v>
      </c>
      <c r="D199">
        <v>0</v>
      </c>
      <c r="E199" s="13" t="s">
        <v>196</v>
      </c>
      <c r="F199" s="13" t="s">
        <v>202</v>
      </c>
      <c r="G199" t="s">
        <v>208</v>
      </c>
      <c r="H199" s="13">
        <v>3514</v>
      </c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>
        <v>7.4499999999999997E-2</v>
      </c>
      <c r="AC199">
        <v>0.62350000000000005</v>
      </c>
      <c r="AD199">
        <v>1</v>
      </c>
      <c r="AE199" s="3" t="s">
        <v>135</v>
      </c>
      <c r="AF199">
        <v>1</v>
      </c>
      <c r="AG199">
        <v>1</v>
      </c>
      <c r="AH199">
        <v>0.2</v>
      </c>
      <c r="AI199" s="35"/>
      <c r="AJ199" s="13">
        <v>187</v>
      </c>
    </row>
    <row r="200" spans="1:36" s="13" customFormat="1" x14ac:dyDescent="0.2">
      <c r="A200">
        <f t="shared" si="51"/>
        <v>199</v>
      </c>
      <c r="B200" s="13">
        <v>3462</v>
      </c>
      <c r="C200" s="13">
        <v>3462</v>
      </c>
      <c r="D200">
        <v>0</v>
      </c>
      <c r="E200" s="13" t="s">
        <v>196</v>
      </c>
      <c r="F200" s="13" t="s">
        <v>202</v>
      </c>
      <c r="G200" t="s">
        <v>208</v>
      </c>
      <c r="H200" s="13">
        <v>3462</v>
      </c>
      <c r="AB200">
        <v>7.4499999999999997E-2</v>
      </c>
      <c r="AC200">
        <v>0.62350000000000005</v>
      </c>
      <c r="AD200">
        <v>1</v>
      </c>
      <c r="AE200" s="3" t="s">
        <v>135</v>
      </c>
      <c r="AF200">
        <v>1</v>
      </c>
      <c r="AG200">
        <v>1</v>
      </c>
      <c r="AH200">
        <v>0.2</v>
      </c>
      <c r="AI200" s="35"/>
      <c r="AJ200" s="13">
        <v>188</v>
      </c>
    </row>
    <row r="201" spans="1:36" s="13" customFormat="1" x14ac:dyDescent="0.2">
      <c r="A201">
        <f t="shared" si="51"/>
        <v>200</v>
      </c>
      <c r="B201" s="6">
        <v>3428</v>
      </c>
      <c r="C201" s="6">
        <v>3428</v>
      </c>
      <c r="D201">
        <v>0</v>
      </c>
      <c r="E201" s="6" t="s">
        <v>196</v>
      </c>
      <c r="F201" s="6" t="s">
        <v>202</v>
      </c>
      <c r="G201" t="s">
        <v>31</v>
      </c>
      <c r="H201" s="6">
        <v>3428</v>
      </c>
      <c r="I201" s="6"/>
      <c r="J201" s="6"/>
      <c r="K201" s="6"/>
      <c r="L201" s="6"/>
      <c r="M201" s="6"/>
      <c r="N201" s="6"/>
      <c r="O201" s="21"/>
      <c r="P201" s="22"/>
      <c r="Q201" s="22"/>
      <c r="R201" s="22"/>
      <c r="S201" s="22"/>
      <c r="T201" s="6"/>
      <c r="U201" s="6"/>
      <c r="V201" s="6"/>
      <c r="W201" s="6"/>
      <c r="X201" s="6"/>
      <c r="Y201" s="6"/>
      <c r="Z201" s="6"/>
      <c r="AA201" s="6"/>
      <c r="AB201" s="6">
        <v>0.5</v>
      </c>
      <c r="AC201" s="6">
        <v>0.9</v>
      </c>
      <c r="AD201" s="6">
        <v>0.35</v>
      </c>
      <c r="AE201" s="6"/>
      <c r="AF201">
        <v>1</v>
      </c>
      <c r="AG201">
        <v>1</v>
      </c>
      <c r="AH201">
        <v>0.2</v>
      </c>
      <c r="AI201" s="25"/>
      <c r="AJ201" s="6">
        <v>189</v>
      </c>
    </row>
    <row r="202" spans="1:36" s="6" customFormat="1" x14ac:dyDescent="0.2">
      <c r="A202">
        <f t="shared" si="51"/>
        <v>201</v>
      </c>
      <c r="B202">
        <v>2155</v>
      </c>
      <c r="C202">
        <v>2155</v>
      </c>
      <c r="D202">
        <v>0</v>
      </c>
      <c r="E202" t="s">
        <v>196</v>
      </c>
      <c r="F202" t="s">
        <v>202</v>
      </c>
      <c r="G202" t="s">
        <v>198</v>
      </c>
      <c r="H202">
        <v>2155</v>
      </c>
      <c r="I202"/>
      <c r="J202"/>
      <c r="K202"/>
      <c r="L202"/>
      <c r="M202"/>
      <c r="N202"/>
      <c r="O202" s="7"/>
      <c r="P202" s="8"/>
      <c r="Q202" s="8"/>
      <c r="R202" s="8"/>
      <c r="S202" s="8"/>
      <c r="T202"/>
      <c r="U202"/>
      <c r="V202"/>
      <c r="W202"/>
      <c r="X202"/>
      <c r="Y202"/>
      <c r="Z202"/>
      <c r="AA202"/>
      <c r="AB202">
        <v>0.14118</v>
      </c>
      <c r="AC202">
        <v>0.54901999999999995</v>
      </c>
      <c r="AD202">
        <v>0.26274999999999998</v>
      </c>
      <c r="AE202" s="3" t="s">
        <v>135</v>
      </c>
      <c r="AF202">
        <v>1</v>
      </c>
      <c r="AG202">
        <v>1</v>
      </c>
      <c r="AH202">
        <v>0.2</v>
      </c>
      <c r="AI202" s="31"/>
      <c r="AJ202">
        <v>190</v>
      </c>
    </row>
    <row r="203" spans="1:36" x14ac:dyDescent="0.2">
      <c r="A203">
        <f t="shared" si="51"/>
        <v>202</v>
      </c>
      <c r="B203">
        <v>2020</v>
      </c>
      <c r="C203">
        <v>2020</v>
      </c>
      <c r="D203">
        <v>0</v>
      </c>
      <c r="E203" t="s">
        <v>196</v>
      </c>
      <c r="F203" t="s">
        <v>202</v>
      </c>
      <c r="G203" t="s">
        <v>198</v>
      </c>
      <c r="H203">
        <v>2020</v>
      </c>
      <c r="AB203">
        <v>0.63529999999999998</v>
      </c>
      <c r="AC203">
        <v>0</v>
      </c>
      <c r="AD203">
        <v>0</v>
      </c>
      <c r="AE203" s="3" t="s">
        <v>135</v>
      </c>
      <c r="AF203">
        <v>1</v>
      </c>
      <c r="AG203">
        <v>1</v>
      </c>
      <c r="AH203">
        <v>0.2</v>
      </c>
      <c r="AI203" s="42"/>
      <c r="AJ203">
        <v>191</v>
      </c>
    </row>
    <row r="204" spans="1:36" x14ac:dyDescent="0.2">
      <c r="A204">
        <f t="shared" si="51"/>
        <v>203</v>
      </c>
      <c r="B204">
        <v>1951</v>
      </c>
      <c r="C204">
        <v>1951</v>
      </c>
      <c r="D204">
        <v>0</v>
      </c>
      <c r="E204" t="s">
        <v>196</v>
      </c>
      <c r="F204" t="s">
        <v>202</v>
      </c>
      <c r="G204" t="s">
        <v>198</v>
      </c>
      <c r="H204">
        <v>1951</v>
      </c>
      <c r="AB204">
        <v>0.80391999999999997</v>
      </c>
      <c r="AC204">
        <v>0</v>
      </c>
      <c r="AD204">
        <v>0</v>
      </c>
      <c r="AE204" s="3" t="s">
        <v>135</v>
      </c>
      <c r="AF204">
        <v>1</v>
      </c>
      <c r="AG204">
        <v>1</v>
      </c>
      <c r="AH204">
        <v>0.2</v>
      </c>
      <c r="AI204" s="29"/>
      <c r="AJ204">
        <v>192</v>
      </c>
    </row>
    <row r="205" spans="1:36" x14ac:dyDescent="0.2">
      <c r="A205">
        <f t="shared" si="51"/>
        <v>204</v>
      </c>
      <c r="B205">
        <v>1814</v>
      </c>
      <c r="C205">
        <v>1814</v>
      </c>
      <c r="D205">
        <v>0</v>
      </c>
      <c r="E205" t="s">
        <v>196</v>
      </c>
      <c r="F205" t="s">
        <v>197</v>
      </c>
      <c r="G205" t="s">
        <v>198</v>
      </c>
      <c r="H205">
        <v>1814</v>
      </c>
      <c r="AB205">
        <v>0.80391999999999997</v>
      </c>
      <c r="AC205">
        <v>0</v>
      </c>
      <c r="AD205">
        <v>0</v>
      </c>
      <c r="AE205" s="3" t="s">
        <v>135</v>
      </c>
      <c r="AF205">
        <v>1</v>
      </c>
      <c r="AG205">
        <v>1</v>
      </c>
      <c r="AH205">
        <v>0.2</v>
      </c>
      <c r="AI205" s="29"/>
      <c r="AJ205">
        <v>193</v>
      </c>
    </row>
    <row r="206" spans="1:36" x14ac:dyDescent="0.2">
      <c r="A206">
        <f t="shared" si="51"/>
        <v>205</v>
      </c>
      <c r="B206">
        <v>1814</v>
      </c>
      <c r="C206">
        <v>1814</v>
      </c>
      <c r="D206">
        <v>0</v>
      </c>
      <c r="E206" t="s">
        <v>196</v>
      </c>
      <c r="F206" t="s">
        <v>202</v>
      </c>
      <c r="G206" t="s">
        <v>198</v>
      </c>
      <c r="H206">
        <v>1814</v>
      </c>
      <c r="AB206">
        <v>0.80391999999999997</v>
      </c>
      <c r="AC206">
        <v>0</v>
      </c>
      <c r="AD206">
        <v>0</v>
      </c>
      <c r="AE206" s="3" t="s">
        <v>135</v>
      </c>
      <c r="AF206">
        <v>1</v>
      </c>
      <c r="AG206">
        <v>1</v>
      </c>
      <c r="AH206">
        <v>0.2</v>
      </c>
      <c r="AI206" s="29"/>
      <c r="AJ206">
        <v>193</v>
      </c>
    </row>
    <row r="207" spans="1:36" x14ac:dyDescent="0.2">
      <c r="A207">
        <f t="shared" si="51"/>
        <v>206</v>
      </c>
      <c r="B207">
        <v>1691</v>
      </c>
      <c r="C207">
        <v>1691</v>
      </c>
      <c r="D207">
        <v>0</v>
      </c>
      <c r="E207" t="s">
        <v>196</v>
      </c>
      <c r="F207" t="s">
        <v>202</v>
      </c>
      <c r="G207" t="s">
        <v>198</v>
      </c>
      <c r="H207">
        <v>1691</v>
      </c>
      <c r="AB207">
        <v>1</v>
      </c>
      <c r="AC207">
        <v>0.4</v>
      </c>
      <c r="AD207">
        <v>0.1</v>
      </c>
      <c r="AE207" s="3" t="s">
        <v>135</v>
      </c>
      <c r="AF207">
        <v>1</v>
      </c>
      <c r="AG207">
        <v>1</v>
      </c>
      <c r="AH207">
        <v>0.2</v>
      </c>
      <c r="AI207" s="40"/>
      <c r="AJ207">
        <v>194</v>
      </c>
    </row>
    <row r="208" spans="1:36" x14ac:dyDescent="0.2">
      <c r="A208">
        <f t="shared" si="51"/>
        <v>207</v>
      </c>
      <c r="B208">
        <v>1631</v>
      </c>
      <c r="C208">
        <v>1631</v>
      </c>
      <c r="D208">
        <v>0</v>
      </c>
      <c r="E208" t="s">
        <v>196</v>
      </c>
      <c r="F208" t="s">
        <v>202</v>
      </c>
      <c r="G208" t="s">
        <v>198</v>
      </c>
      <c r="H208">
        <v>1631</v>
      </c>
      <c r="AB208">
        <v>0.80391999999999997</v>
      </c>
      <c r="AC208">
        <v>0</v>
      </c>
      <c r="AD208">
        <v>0</v>
      </c>
      <c r="AE208" s="3" t="s">
        <v>135</v>
      </c>
      <c r="AF208">
        <v>1</v>
      </c>
      <c r="AG208">
        <v>1</v>
      </c>
      <c r="AH208">
        <v>0.2</v>
      </c>
      <c r="AI208" s="29"/>
      <c r="AJ208">
        <v>195</v>
      </c>
    </row>
    <row r="209" spans="1:36" x14ac:dyDescent="0.2">
      <c r="A209">
        <f t="shared" si="51"/>
        <v>208</v>
      </c>
      <c r="B209">
        <v>1589</v>
      </c>
      <c r="C209">
        <v>1589</v>
      </c>
      <c r="D209">
        <v>0</v>
      </c>
      <c r="E209" t="s">
        <v>196</v>
      </c>
      <c r="F209" t="s">
        <v>202</v>
      </c>
      <c r="G209" t="s">
        <v>198</v>
      </c>
      <c r="H209">
        <v>1589</v>
      </c>
      <c r="AB209">
        <v>0.80391999999999997</v>
      </c>
      <c r="AC209">
        <v>0</v>
      </c>
      <c r="AD209">
        <v>0</v>
      </c>
      <c r="AE209" s="3" t="s">
        <v>135</v>
      </c>
      <c r="AF209">
        <v>1</v>
      </c>
      <c r="AG209">
        <v>1</v>
      </c>
      <c r="AH209">
        <v>0.2</v>
      </c>
      <c r="AI209" s="29"/>
      <c r="AJ209">
        <v>196</v>
      </c>
    </row>
    <row r="210" spans="1:36" s="14" customFormat="1" x14ac:dyDescent="0.2">
      <c r="A210">
        <f t="shared" si="51"/>
        <v>209</v>
      </c>
      <c r="B210" s="14">
        <v>3634</v>
      </c>
      <c r="C210" s="14">
        <v>3634</v>
      </c>
      <c r="D210">
        <v>0</v>
      </c>
      <c r="E210" s="14" t="s">
        <v>196</v>
      </c>
      <c r="F210" s="14" t="s">
        <v>203</v>
      </c>
      <c r="G210" t="s">
        <v>18</v>
      </c>
      <c r="H210" s="14">
        <v>3634</v>
      </c>
      <c r="O210" s="15"/>
      <c r="P210" s="16"/>
      <c r="Q210" s="16"/>
      <c r="R210" s="16"/>
      <c r="S210" s="16"/>
      <c r="AB210">
        <v>0.25</v>
      </c>
      <c r="AC210">
        <v>0.25</v>
      </c>
      <c r="AD210">
        <v>1</v>
      </c>
      <c r="AE210" s="3" t="s">
        <v>135</v>
      </c>
      <c r="AF210">
        <v>1</v>
      </c>
      <c r="AG210">
        <v>1</v>
      </c>
      <c r="AH210">
        <v>0.2</v>
      </c>
      <c r="AI210" s="38"/>
      <c r="AJ210" s="14">
        <v>197</v>
      </c>
    </row>
    <row r="211" spans="1:36" s="14" customFormat="1" x14ac:dyDescent="0.2">
      <c r="A211">
        <f t="shared" si="51"/>
        <v>210</v>
      </c>
      <c r="B211" s="14">
        <v>3620</v>
      </c>
      <c r="C211" s="14">
        <v>3620</v>
      </c>
      <c r="D211">
        <v>0</v>
      </c>
      <c r="E211" s="14" t="s">
        <v>196</v>
      </c>
      <c r="F211" s="14" t="s">
        <v>203</v>
      </c>
      <c r="G211" t="s">
        <v>209</v>
      </c>
      <c r="H211" s="14">
        <v>3620</v>
      </c>
      <c r="O211" s="15"/>
      <c r="P211" s="16"/>
      <c r="Q211" s="16"/>
      <c r="R211" s="16"/>
      <c r="S211" s="16"/>
      <c r="AB211">
        <v>0.25</v>
      </c>
      <c r="AC211">
        <v>0.25</v>
      </c>
      <c r="AD211">
        <v>1</v>
      </c>
      <c r="AE211" s="3" t="s">
        <v>135</v>
      </c>
      <c r="AF211">
        <v>1</v>
      </c>
      <c r="AG211">
        <v>1</v>
      </c>
      <c r="AH211">
        <v>0.2</v>
      </c>
      <c r="AI211" s="38"/>
      <c r="AJ211" s="14">
        <v>198</v>
      </c>
    </row>
    <row r="212" spans="1:36" s="13" customFormat="1" x14ac:dyDescent="0.2">
      <c r="A212">
        <f t="shared" si="51"/>
        <v>211</v>
      </c>
      <c r="B212" s="13">
        <v>3514</v>
      </c>
      <c r="C212" s="13">
        <v>3514</v>
      </c>
      <c r="D212">
        <v>0</v>
      </c>
      <c r="E212" s="13" t="s">
        <v>196</v>
      </c>
      <c r="F212" s="13" t="s">
        <v>203</v>
      </c>
      <c r="G212" t="s">
        <v>210</v>
      </c>
      <c r="H212" s="13">
        <v>3514</v>
      </c>
      <c r="AB212">
        <v>7.4499999999999997E-2</v>
      </c>
      <c r="AC212">
        <v>0.62350000000000005</v>
      </c>
      <c r="AD212">
        <v>1</v>
      </c>
      <c r="AE212" s="3" t="s">
        <v>135</v>
      </c>
      <c r="AF212">
        <v>1</v>
      </c>
      <c r="AG212">
        <v>1</v>
      </c>
      <c r="AH212">
        <v>0.2</v>
      </c>
      <c r="AI212" s="35"/>
      <c r="AJ212" s="13">
        <v>199</v>
      </c>
    </row>
    <row r="213" spans="1:36" s="13" customFormat="1" x14ac:dyDescent="0.2">
      <c r="A213">
        <f t="shared" si="51"/>
        <v>212</v>
      </c>
      <c r="B213" s="13">
        <v>3455</v>
      </c>
      <c r="C213" s="13">
        <v>3455</v>
      </c>
      <c r="D213">
        <v>0</v>
      </c>
      <c r="E213" s="13" t="s">
        <v>196</v>
      </c>
      <c r="F213" s="13" t="s">
        <v>203</v>
      </c>
      <c r="G213" t="s">
        <v>208</v>
      </c>
      <c r="H213" s="13">
        <v>3455</v>
      </c>
      <c r="AB213">
        <v>7.4499999999999997E-2</v>
      </c>
      <c r="AC213">
        <v>0.62350000000000005</v>
      </c>
      <c r="AD213">
        <v>1</v>
      </c>
      <c r="AE213" s="3" t="s">
        <v>135</v>
      </c>
      <c r="AF213">
        <v>1</v>
      </c>
      <c r="AG213">
        <v>1</v>
      </c>
      <c r="AH213">
        <v>0.2</v>
      </c>
      <c r="AI213" s="35"/>
      <c r="AJ213" s="13">
        <v>200</v>
      </c>
    </row>
    <row r="214" spans="1:36" x14ac:dyDescent="0.2">
      <c r="A214">
        <f t="shared" si="51"/>
        <v>213</v>
      </c>
      <c r="B214">
        <v>2180</v>
      </c>
      <c r="C214">
        <v>2180</v>
      </c>
      <c r="D214">
        <v>0</v>
      </c>
      <c r="E214" t="s">
        <v>196</v>
      </c>
      <c r="F214" t="s">
        <v>203</v>
      </c>
      <c r="G214" t="s">
        <v>198</v>
      </c>
      <c r="H214">
        <v>2180</v>
      </c>
      <c r="AB214">
        <v>0.14118</v>
      </c>
      <c r="AC214">
        <v>0.54901999999999995</v>
      </c>
      <c r="AD214">
        <v>0.26274999999999998</v>
      </c>
      <c r="AE214" s="3" t="s">
        <v>135</v>
      </c>
      <c r="AF214">
        <v>1</v>
      </c>
      <c r="AG214">
        <v>1</v>
      </c>
      <c r="AH214">
        <v>0.2</v>
      </c>
      <c r="AI214" s="31"/>
      <c r="AJ214">
        <v>201</v>
      </c>
    </row>
    <row r="215" spans="1:36" x14ac:dyDescent="0.2">
      <c r="A215">
        <f t="shared" si="51"/>
        <v>214</v>
      </c>
      <c r="B215">
        <v>2035</v>
      </c>
      <c r="C215">
        <v>2035</v>
      </c>
      <c r="D215">
        <v>0</v>
      </c>
      <c r="E215" t="s">
        <v>196</v>
      </c>
      <c r="F215" t="s">
        <v>203</v>
      </c>
      <c r="G215" t="s">
        <v>198</v>
      </c>
      <c r="H215">
        <v>2035</v>
      </c>
      <c r="AB215">
        <v>0.63529999999999998</v>
      </c>
      <c r="AC215">
        <v>0</v>
      </c>
      <c r="AD215">
        <v>0</v>
      </c>
      <c r="AE215" s="3" t="s">
        <v>135</v>
      </c>
      <c r="AF215">
        <v>1</v>
      </c>
      <c r="AG215">
        <v>1</v>
      </c>
      <c r="AH215">
        <v>0.2</v>
      </c>
      <c r="AI215" s="42"/>
      <c r="AJ215">
        <v>202</v>
      </c>
    </row>
    <row r="216" spans="1:36" x14ac:dyDescent="0.2">
      <c r="A216">
        <f t="shared" si="51"/>
        <v>215</v>
      </c>
      <c r="B216">
        <v>1968</v>
      </c>
      <c r="C216">
        <v>1968</v>
      </c>
      <c r="D216">
        <v>0</v>
      </c>
      <c r="E216" t="s">
        <v>196</v>
      </c>
      <c r="F216" t="s">
        <v>203</v>
      </c>
      <c r="G216" t="s">
        <v>198</v>
      </c>
      <c r="H216">
        <v>1968</v>
      </c>
      <c r="AB216">
        <v>0.80391999999999997</v>
      </c>
      <c r="AC216">
        <v>0</v>
      </c>
      <c r="AD216">
        <v>0</v>
      </c>
      <c r="AE216" s="3" t="s">
        <v>135</v>
      </c>
      <c r="AF216">
        <v>1</v>
      </c>
      <c r="AG216">
        <v>1</v>
      </c>
      <c r="AH216">
        <v>0.2</v>
      </c>
      <c r="AI216" s="29"/>
      <c r="AJ216">
        <v>203</v>
      </c>
    </row>
    <row r="217" spans="1:36" x14ac:dyDescent="0.2">
      <c r="A217">
        <f t="shared" si="51"/>
        <v>216</v>
      </c>
      <c r="B217">
        <v>1897</v>
      </c>
      <c r="C217">
        <v>1897</v>
      </c>
      <c r="D217">
        <v>0</v>
      </c>
      <c r="E217" t="s">
        <v>196</v>
      </c>
      <c r="F217" t="s">
        <v>203</v>
      </c>
      <c r="G217" t="s">
        <v>198</v>
      </c>
      <c r="H217">
        <v>1897</v>
      </c>
      <c r="AB217">
        <v>0.7</v>
      </c>
      <c r="AC217">
        <v>0.3</v>
      </c>
      <c r="AD217">
        <v>0.1</v>
      </c>
      <c r="AE217" s="3" t="s">
        <v>135</v>
      </c>
      <c r="AF217">
        <v>1</v>
      </c>
      <c r="AG217">
        <v>1</v>
      </c>
      <c r="AH217">
        <v>0.2</v>
      </c>
      <c r="AI217" s="41"/>
      <c r="AJ217">
        <v>204</v>
      </c>
    </row>
    <row r="218" spans="1:36" x14ac:dyDescent="0.2">
      <c r="A218">
        <f t="shared" si="51"/>
        <v>217</v>
      </c>
      <c r="B218">
        <v>1707</v>
      </c>
      <c r="C218">
        <v>1707</v>
      </c>
      <c r="D218">
        <v>0</v>
      </c>
      <c r="E218" t="s">
        <v>196</v>
      </c>
      <c r="F218" t="s">
        <v>203</v>
      </c>
      <c r="G218" t="s">
        <v>198</v>
      </c>
      <c r="H218">
        <v>1707</v>
      </c>
      <c r="AB218">
        <v>1</v>
      </c>
      <c r="AC218">
        <v>0.4</v>
      </c>
      <c r="AD218">
        <v>0.1</v>
      </c>
      <c r="AE218" s="3" t="s">
        <v>135</v>
      </c>
      <c r="AF218">
        <v>1</v>
      </c>
      <c r="AG218">
        <v>1</v>
      </c>
      <c r="AH218">
        <v>0.2</v>
      </c>
      <c r="AI218" s="40"/>
      <c r="AJ218">
        <v>205</v>
      </c>
    </row>
    <row r="219" spans="1:36" x14ac:dyDescent="0.2">
      <c r="A219">
        <f t="shared" si="51"/>
        <v>218</v>
      </c>
      <c r="B219">
        <v>1659</v>
      </c>
      <c r="C219">
        <v>1659</v>
      </c>
      <c r="D219">
        <v>0</v>
      </c>
      <c r="E219" t="s">
        <v>196</v>
      </c>
      <c r="F219" t="s">
        <v>203</v>
      </c>
      <c r="G219" t="s">
        <v>198</v>
      </c>
      <c r="H219">
        <v>1659</v>
      </c>
      <c r="AB219">
        <v>0.80391999999999997</v>
      </c>
      <c r="AC219">
        <v>0</v>
      </c>
      <c r="AD219">
        <v>0</v>
      </c>
      <c r="AE219" s="3" t="s">
        <v>135</v>
      </c>
      <c r="AF219">
        <v>1</v>
      </c>
      <c r="AG219">
        <v>1</v>
      </c>
      <c r="AH219">
        <v>0.2</v>
      </c>
      <c r="AI219" s="29"/>
      <c r="AJ219">
        <v>206</v>
      </c>
    </row>
    <row r="220" spans="1:36" x14ac:dyDescent="0.2">
      <c r="A220">
        <f t="shared" si="51"/>
        <v>219</v>
      </c>
      <c r="B220">
        <v>1628</v>
      </c>
      <c r="C220">
        <v>1628</v>
      </c>
      <c r="D220">
        <v>0</v>
      </c>
      <c r="E220" t="s">
        <v>196</v>
      </c>
      <c r="F220" t="s">
        <v>203</v>
      </c>
      <c r="G220" t="s">
        <v>198</v>
      </c>
      <c r="H220">
        <v>1628</v>
      </c>
      <c r="AB220">
        <v>0</v>
      </c>
      <c r="AC220">
        <v>0</v>
      </c>
      <c r="AD220">
        <v>0</v>
      </c>
      <c r="AE220" s="3" t="s">
        <v>135</v>
      </c>
      <c r="AF220">
        <v>1</v>
      </c>
      <c r="AG220">
        <v>1</v>
      </c>
      <c r="AH220">
        <v>0.2</v>
      </c>
      <c r="AI220" s="24"/>
      <c r="AJ220">
        <v>207</v>
      </c>
    </row>
    <row r="221" spans="1:36" x14ac:dyDescent="0.2">
      <c r="A221">
        <f t="shared" si="51"/>
        <v>220</v>
      </c>
      <c r="B221">
        <v>1555</v>
      </c>
      <c r="C221">
        <v>1555</v>
      </c>
      <c r="D221">
        <v>0</v>
      </c>
      <c r="E221" t="s">
        <v>196</v>
      </c>
      <c r="F221" t="s">
        <v>203</v>
      </c>
      <c r="G221" t="s">
        <v>198</v>
      </c>
      <c r="H221">
        <v>1555</v>
      </c>
      <c r="AB221">
        <v>0.98038999999999998</v>
      </c>
      <c r="AC221">
        <v>0.63922000000000001</v>
      </c>
      <c r="AD221">
        <v>2.7451E-2</v>
      </c>
      <c r="AE221" s="3" t="s">
        <v>135</v>
      </c>
      <c r="AF221">
        <v>1</v>
      </c>
      <c r="AG221">
        <v>1</v>
      </c>
      <c r="AH221">
        <v>0.2</v>
      </c>
      <c r="AI221" s="34"/>
      <c r="AJ221">
        <v>208</v>
      </c>
    </row>
    <row r="222" spans="1:36" x14ac:dyDescent="0.2">
      <c r="A222">
        <f t="shared" si="51"/>
        <v>221</v>
      </c>
      <c r="B222">
        <v>1385</v>
      </c>
      <c r="C222">
        <v>1385</v>
      </c>
      <c r="D222">
        <v>0</v>
      </c>
      <c r="E222" t="s">
        <v>196</v>
      </c>
      <c r="F222" t="s">
        <v>203</v>
      </c>
      <c r="G222" t="s">
        <v>198</v>
      </c>
      <c r="H222">
        <v>1385</v>
      </c>
      <c r="AB222">
        <v>0</v>
      </c>
      <c r="AC222">
        <v>0</v>
      </c>
      <c r="AD222">
        <v>0</v>
      </c>
      <c r="AE222" s="3" t="s">
        <v>135</v>
      </c>
      <c r="AF222">
        <v>1</v>
      </c>
      <c r="AG222">
        <v>1</v>
      </c>
      <c r="AH222">
        <v>0.2</v>
      </c>
      <c r="AI222" s="24"/>
      <c r="AJ222">
        <v>209</v>
      </c>
    </row>
    <row r="223" spans="1:36" x14ac:dyDescent="0.2">
      <c r="A223">
        <f t="shared" si="51"/>
        <v>222</v>
      </c>
      <c r="B223" s="14">
        <v>3632</v>
      </c>
      <c r="C223" s="14">
        <v>3632</v>
      </c>
      <c r="D223">
        <v>0</v>
      </c>
      <c r="E223" s="14" t="s">
        <v>196</v>
      </c>
      <c r="F223" s="14" t="s">
        <v>213</v>
      </c>
      <c r="G223" t="s">
        <v>18</v>
      </c>
      <c r="H223" s="14">
        <v>3632</v>
      </c>
      <c r="I223" s="14"/>
      <c r="J223" s="14"/>
      <c r="K223" s="14"/>
      <c r="L223" s="14"/>
      <c r="M223" s="14"/>
      <c r="N223" s="14"/>
      <c r="O223" s="15"/>
      <c r="P223" s="16"/>
      <c r="Q223" s="16"/>
      <c r="R223" s="16"/>
      <c r="S223" s="16"/>
      <c r="T223" s="14"/>
      <c r="U223" s="14"/>
      <c r="V223" s="14"/>
      <c r="W223" s="14"/>
      <c r="X223" s="14"/>
      <c r="Y223" s="14"/>
      <c r="Z223" s="14"/>
      <c r="AA223" s="14"/>
      <c r="AB223">
        <v>0.25</v>
      </c>
      <c r="AC223">
        <v>0.25</v>
      </c>
      <c r="AD223">
        <v>1</v>
      </c>
      <c r="AE223" s="3" t="s">
        <v>135</v>
      </c>
      <c r="AF223">
        <v>1</v>
      </c>
      <c r="AG223">
        <v>1</v>
      </c>
      <c r="AH223">
        <v>0.2</v>
      </c>
      <c r="AI223" s="38"/>
      <c r="AJ223" s="14">
        <v>210</v>
      </c>
    </row>
    <row r="224" spans="1:36" s="14" customFormat="1" x14ac:dyDescent="0.2">
      <c r="A224">
        <f t="shared" si="51"/>
        <v>223</v>
      </c>
      <c r="B224" s="14">
        <v>3628</v>
      </c>
      <c r="C224" s="14">
        <v>3628</v>
      </c>
      <c r="D224">
        <v>0</v>
      </c>
      <c r="E224" s="14" t="s">
        <v>196</v>
      </c>
      <c r="F224" s="14" t="s">
        <v>213</v>
      </c>
      <c r="G224" t="s">
        <v>209</v>
      </c>
      <c r="H224" s="14">
        <v>3628</v>
      </c>
      <c r="O224" s="15"/>
      <c r="P224" s="16"/>
      <c r="Q224" s="16"/>
      <c r="R224" s="16"/>
      <c r="S224" s="16"/>
      <c r="AB224">
        <v>0.25</v>
      </c>
      <c r="AC224">
        <v>0.25</v>
      </c>
      <c r="AD224">
        <v>1</v>
      </c>
      <c r="AE224" s="3" t="s">
        <v>135</v>
      </c>
      <c r="AF224">
        <v>1</v>
      </c>
      <c r="AG224">
        <v>1</v>
      </c>
      <c r="AH224">
        <v>0.2</v>
      </c>
      <c r="AI224" s="38"/>
      <c r="AJ224" s="14">
        <v>211</v>
      </c>
    </row>
    <row r="225" spans="1:36" s="14" customFormat="1" x14ac:dyDescent="0.2">
      <c r="A225">
        <f t="shared" si="51"/>
        <v>224</v>
      </c>
      <c r="B225">
        <v>2180</v>
      </c>
      <c r="C225">
        <v>2180</v>
      </c>
      <c r="D225">
        <v>0</v>
      </c>
      <c r="E225" t="s">
        <v>196</v>
      </c>
      <c r="F225" t="s">
        <v>213</v>
      </c>
      <c r="G225" t="s">
        <v>198</v>
      </c>
      <c r="H225">
        <v>2180</v>
      </c>
      <c r="I225"/>
      <c r="J225"/>
      <c r="K225"/>
      <c r="L225"/>
      <c r="M225"/>
      <c r="N225"/>
      <c r="O225" s="7"/>
      <c r="P225" s="8"/>
      <c r="Q225" s="8"/>
      <c r="R225" s="8"/>
      <c r="S225" s="8"/>
      <c r="T225"/>
      <c r="U225"/>
      <c r="V225"/>
      <c r="W225"/>
      <c r="X225"/>
      <c r="Y225"/>
      <c r="Z225"/>
      <c r="AA225"/>
      <c r="AB225">
        <v>0.14118</v>
      </c>
      <c r="AC225">
        <v>0.54901999999999995</v>
      </c>
      <c r="AD225">
        <v>0.26274999999999998</v>
      </c>
      <c r="AE225" s="3" t="s">
        <v>135</v>
      </c>
      <c r="AF225">
        <v>1</v>
      </c>
      <c r="AG225">
        <v>1</v>
      </c>
      <c r="AH225">
        <v>0.2</v>
      </c>
      <c r="AI225" s="31"/>
      <c r="AJ225">
        <v>212</v>
      </c>
    </row>
    <row r="226" spans="1:36" x14ac:dyDescent="0.2">
      <c r="A226">
        <f t="shared" si="51"/>
        <v>225</v>
      </c>
      <c r="B226">
        <v>2035</v>
      </c>
      <c r="C226">
        <v>2035</v>
      </c>
      <c r="D226">
        <v>0</v>
      </c>
      <c r="E226" t="s">
        <v>196</v>
      </c>
      <c r="F226" t="s">
        <v>213</v>
      </c>
      <c r="G226" t="s">
        <v>198</v>
      </c>
      <c r="H226">
        <v>2035</v>
      </c>
      <c r="AB226">
        <v>0.63529999999999998</v>
      </c>
      <c r="AC226">
        <v>0</v>
      </c>
      <c r="AD226">
        <v>0</v>
      </c>
      <c r="AE226" s="3" t="s">
        <v>135</v>
      </c>
      <c r="AF226">
        <v>1</v>
      </c>
      <c r="AG226">
        <v>1</v>
      </c>
      <c r="AH226">
        <v>0.2</v>
      </c>
      <c r="AI226" s="42"/>
      <c r="AJ226">
        <v>213</v>
      </c>
    </row>
    <row r="227" spans="1:36" x14ac:dyDescent="0.2">
      <c r="A227">
        <f t="shared" si="51"/>
        <v>226</v>
      </c>
      <c r="B227">
        <v>1968</v>
      </c>
      <c r="C227">
        <v>1968</v>
      </c>
      <c r="D227">
        <v>0</v>
      </c>
      <c r="E227" t="s">
        <v>196</v>
      </c>
      <c r="F227" t="s">
        <v>213</v>
      </c>
      <c r="G227" t="s">
        <v>198</v>
      </c>
      <c r="H227">
        <v>1968</v>
      </c>
      <c r="AB227">
        <v>0.80391999999999997</v>
      </c>
      <c r="AC227">
        <v>0</v>
      </c>
      <c r="AD227">
        <v>0</v>
      </c>
      <c r="AE227" s="3" t="s">
        <v>135</v>
      </c>
      <c r="AF227">
        <v>1</v>
      </c>
      <c r="AG227">
        <v>1</v>
      </c>
      <c r="AH227">
        <v>0.2</v>
      </c>
      <c r="AI227" s="29"/>
      <c r="AJ227">
        <v>214</v>
      </c>
    </row>
    <row r="228" spans="1:36" x14ac:dyDescent="0.2">
      <c r="A228">
        <f t="shared" si="51"/>
        <v>227</v>
      </c>
      <c r="B228">
        <v>1834</v>
      </c>
      <c r="C228">
        <v>1855</v>
      </c>
      <c r="D228">
        <v>0</v>
      </c>
      <c r="E228" t="s">
        <v>196</v>
      </c>
      <c r="F228" t="s">
        <v>211</v>
      </c>
      <c r="G228" t="s">
        <v>198</v>
      </c>
      <c r="H228">
        <v>1834</v>
      </c>
      <c r="AB228">
        <v>0.7</v>
      </c>
      <c r="AC228">
        <v>0.3</v>
      </c>
      <c r="AD228">
        <v>0.1</v>
      </c>
      <c r="AE228" s="3" t="s">
        <v>135</v>
      </c>
      <c r="AF228">
        <v>1</v>
      </c>
      <c r="AG228">
        <v>1</v>
      </c>
      <c r="AH228">
        <v>0.2</v>
      </c>
      <c r="AI228" s="41"/>
      <c r="AJ228">
        <v>215</v>
      </c>
    </row>
    <row r="229" spans="1:36" x14ac:dyDescent="0.2">
      <c r="A229">
        <f t="shared" si="51"/>
        <v>228</v>
      </c>
      <c r="B229">
        <v>1855</v>
      </c>
      <c r="C229">
        <v>1855</v>
      </c>
      <c r="D229">
        <v>0</v>
      </c>
      <c r="E229" t="s">
        <v>196</v>
      </c>
      <c r="F229" t="s">
        <v>211</v>
      </c>
      <c r="G229" t="s">
        <v>198</v>
      </c>
      <c r="H229">
        <v>1855</v>
      </c>
      <c r="AB229">
        <v>0.7</v>
      </c>
      <c r="AC229">
        <v>0.3</v>
      </c>
      <c r="AD229">
        <v>0.1</v>
      </c>
      <c r="AE229" s="3" t="s">
        <v>135</v>
      </c>
      <c r="AF229">
        <v>1</v>
      </c>
      <c r="AG229">
        <v>1</v>
      </c>
      <c r="AH229">
        <v>0.2</v>
      </c>
      <c r="AI229" s="41"/>
      <c r="AJ229">
        <v>215</v>
      </c>
    </row>
    <row r="230" spans="1:36" x14ac:dyDescent="0.2">
      <c r="A230">
        <f t="shared" si="51"/>
        <v>229</v>
      </c>
      <c r="B230">
        <v>1895</v>
      </c>
      <c r="C230">
        <v>1895</v>
      </c>
      <c r="D230">
        <v>0</v>
      </c>
      <c r="E230" t="s">
        <v>196</v>
      </c>
      <c r="F230" t="s">
        <v>213</v>
      </c>
      <c r="G230" t="s">
        <v>198</v>
      </c>
      <c r="H230">
        <v>1895</v>
      </c>
      <c r="AB230">
        <v>0.7</v>
      </c>
      <c r="AC230">
        <v>0.3</v>
      </c>
      <c r="AD230">
        <v>0.1</v>
      </c>
      <c r="AE230" s="3" t="s">
        <v>135</v>
      </c>
      <c r="AF230">
        <v>1</v>
      </c>
      <c r="AG230">
        <v>1</v>
      </c>
      <c r="AH230">
        <v>0.2</v>
      </c>
      <c r="AI230" s="41"/>
      <c r="AJ230">
        <v>215</v>
      </c>
    </row>
    <row r="231" spans="1:36" x14ac:dyDescent="0.2">
      <c r="A231">
        <f t="shared" si="51"/>
        <v>230</v>
      </c>
      <c r="B231">
        <v>1764</v>
      </c>
      <c r="C231">
        <v>1764</v>
      </c>
      <c r="D231">
        <v>0</v>
      </c>
      <c r="E231" t="s">
        <v>196</v>
      </c>
      <c r="F231" t="s">
        <v>213</v>
      </c>
      <c r="G231" t="s">
        <v>204</v>
      </c>
      <c r="H231">
        <v>1764</v>
      </c>
      <c r="AB231">
        <v>1</v>
      </c>
      <c r="AC231">
        <v>0.4</v>
      </c>
      <c r="AD231">
        <v>0.1</v>
      </c>
      <c r="AE231" s="3" t="s">
        <v>135</v>
      </c>
      <c r="AF231">
        <v>1</v>
      </c>
      <c r="AG231">
        <v>1</v>
      </c>
      <c r="AH231">
        <v>0.2</v>
      </c>
      <c r="AI231" s="40"/>
      <c r="AJ231">
        <v>216</v>
      </c>
    </row>
    <row r="232" spans="1:36" x14ac:dyDescent="0.2">
      <c r="A232">
        <f t="shared" si="51"/>
        <v>231</v>
      </c>
      <c r="B232">
        <v>1635</v>
      </c>
      <c r="C232">
        <v>1635</v>
      </c>
      <c r="D232">
        <v>0</v>
      </c>
      <c r="E232" t="s">
        <v>196</v>
      </c>
      <c r="F232" t="s">
        <v>213</v>
      </c>
      <c r="G232" t="s">
        <v>198</v>
      </c>
      <c r="H232">
        <v>1635</v>
      </c>
      <c r="AB232">
        <v>0.80391999999999997</v>
      </c>
      <c r="AC232">
        <v>0</v>
      </c>
      <c r="AD232">
        <v>0</v>
      </c>
      <c r="AE232" s="3" t="s">
        <v>135</v>
      </c>
      <c r="AF232">
        <v>1</v>
      </c>
      <c r="AG232">
        <v>1</v>
      </c>
      <c r="AH232">
        <v>0.2</v>
      </c>
      <c r="AI232" s="29"/>
      <c r="AJ232">
        <v>217</v>
      </c>
    </row>
    <row r="233" spans="1:36" x14ac:dyDescent="0.2">
      <c r="A233">
        <f t="shared" si="51"/>
        <v>232</v>
      </c>
      <c r="B233">
        <v>1655</v>
      </c>
      <c r="C233">
        <v>1655</v>
      </c>
      <c r="D233">
        <v>0</v>
      </c>
      <c r="E233" t="s">
        <v>196</v>
      </c>
      <c r="F233" t="s">
        <v>213</v>
      </c>
      <c r="G233" t="s">
        <v>198</v>
      </c>
      <c r="H233">
        <v>1655</v>
      </c>
      <c r="AB233">
        <v>0.80391999999999997</v>
      </c>
      <c r="AC233">
        <v>0</v>
      </c>
      <c r="AD233">
        <v>0</v>
      </c>
      <c r="AE233" s="3" t="s">
        <v>135</v>
      </c>
      <c r="AF233">
        <v>1</v>
      </c>
      <c r="AG233">
        <v>1</v>
      </c>
      <c r="AH233">
        <v>0.2</v>
      </c>
      <c r="AI233" s="29"/>
      <c r="AJ233">
        <v>218</v>
      </c>
    </row>
    <row r="234" spans="1:36" x14ac:dyDescent="0.2">
      <c r="A234">
        <f t="shared" si="51"/>
        <v>233</v>
      </c>
      <c r="B234">
        <v>1554</v>
      </c>
      <c r="C234">
        <v>1554</v>
      </c>
      <c r="D234">
        <v>0</v>
      </c>
      <c r="E234" t="s">
        <v>196</v>
      </c>
      <c r="F234" t="s">
        <v>213</v>
      </c>
      <c r="G234" t="s">
        <v>198</v>
      </c>
      <c r="H234">
        <v>1554</v>
      </c>
      <c r="AB234">
        <v>0.98038999999999998</v>
      </c>
      <c r="AC234">
        <v>0.63922000000000001</v>
      </c>
      <c r="AD234">
        <v>2.7451E-2</v>
      </c>
      <c r="AE234" s="3" t="s">
        <v>135</v>
      </c>
      <c r="AF234">
        <v>1</v>
      </c>
      <c r="AG234">
        <v>1</v>
      </c>
      <c r="AH234">
        <v>0.2</v>
      </c>
      <c r="AI234" s="34"/>
      <c r="AJ234">
        <v>219</v>
      </c>
    </row>
    <row r="235" spans="1:36" x14ac:dyDescent="0.2">
      <c r="A235">
        <f t="shared" si="51"/>
        <v>234</v>
      </c>
      <c r="B235">
        <v>1516</v>
      </c>
      <c r="C235">
        <v>1516</v>
      </c>
      <c r="D235">
        <v>0</v>
      </c>
      <c r="E235" t="s">
        <v>196</v>
      </c>
      <c r="F235" t="s">
        <v>213</v>
      </c>
      <c r="G235" t="s">
        <v>198</v>
      </c>
      <c r="H235">
        <v>1516</v>
      </c>
      <c r="AB235">
        <v>0.98038999999999998</v>
      </c>
      <c r="AC235">
        <v>0.63922000000000001</v>
      </c>
      <c r="AD235">
        <v>2.7451E-2</v>
      </c>
      <c r="AE235" s="3" t="s">
        <v>135</v>
      </c>
      <c r="AF235">
        <v>1</v>
      </c>
      <c r="AG235">
        <v>1</v>
      </c>
      <c r="AH235">
        <v>0.2</v>
      </c>
      <c r="AI235" s="34"/>
      <c r="AJ235">
        <v>220</v>
      </c>
    </row>
    <row r="236" spans="1:36" x14ac:dyDescent="0.2">
      <c r="A236">
        <f t="shared" si="51"/>
        <v>235</v>
      </c>
      <c r="B236">
        <v>1525</v>
      </c>
      <c r="C236">
        <v>1525</v>
      </c>
      <c r="D236">
        <v>0</v>
      </c>
      <c r="E236" t="s">
        <v>196</v>
      </c>
      <c r="F236" t="s">
        <v>203</v>
      </c>
      <c r="G236" t="s">
        <v>198</v>
      </c>
      <c r="H236">
        <v>1525</v>
      </c>
      <c r="AB236">
        <v>0.98038999999999998</v>
      </c>
      <c r="AC236">
        <v>0.63922000000000001</v>
      </c>
      <c r="AD236">
        <v>2.7451E-2</v>
      </c>
      <c r="AE236" s="3" t="s">
        <v>135</v>
      </c>
      <c r="AF236">
        <v>1</v>
      </c>
      <c r="AG236">
        <v>1</v>
      </c>
      <c r="AH236">
        <v>0.2</v>
      </c>
      <c r="AI236" s="34"/>
      <c r="AJ236">
        <v>220</v>
      </c>
    </row>
    <row r="237" spans="1:36" x14ac:dyDescent="0.2">
      <c r="A237">
        <f t="shared" si="51"/>
        <v>236</v>
      </c>
      <c r="B237">
        <v>1392</v>
      </c>
      <c r="C237">
        <v>1392</v>
      </c>
      <c r="D237">
        <v>0</v>
      </c>
      <c r="E237" t="s">
        <v>196</v>
      </c>
      <c r="F237" t="s">
        <v>213</v>
      </c>
      <c r="G237" t="s">
        <v>198</v>
      </c>
      <c r="H237">
        <v>1392</v>
      </c>
      <c r="AB237">
        <v>0</v>
      </c>
      <c r="AC237">
        <v>0</v>
      </c>
      <c r="AD237">
        <v>0</v>
      </c>
      <c r="AE237" s="3" t="s">
        <v>135</v>
      </c>
      <c r="AF237">
        <v>1</v>
      </c>
      <c r="AG237">
        <v>1</v>
      </c>
      <c r="AH237">
        <v>0.2</v>
      </c>
      <c r="AI237" s="24"/>
      <c r="AJ237">
        <v>221</v>
      </c>
    </row>
    <row r="238" spans="1:36" s="13" customFormat="1" x14ac:dyDescent="0.2">
      <c r="A238">
        <f t="shared" si="51"/>
        <v>237</v>
      </c>
      <c r="B238">
        <v>1328</v>
      </c>
      <c r="C238">
        <v>1328</v>
      </c>
      <c r="D238">
        <v>0</v>
      </c>
      <c r="E238" t="s">
        <v>196</v>
      </c>
      <c r="F238" t="s">
        <v>213</v>
      </c>
      <c r="G238" t="s">
        <v>198</v>
      </c>
      <c r="H238">
        <v>1328</v>
      </c>
      <c r="I238"/>
      <c r="J238"/>
      <c r="K238"/>
      <c r="L238"/>
      <c r="M238"/>
      <c r="N238"/>
      <c r="O238" s="7"/>
      <c r="P238" s="8"/>
      <c r="Q238" s="8"/>
      <c r="R238" s="8"/>
      <c r="S238" s="8"/>
      <c r="T238"/>
      <c r="U238"/>
      <c r="V238"/>
      <c r="W238"/>
      <c r="X238"/>
      <c r="Y238"/>
      <c r="Z238"/>
      <c r="AA238"/>
      <c r="AB238">
        <v>0</v>
      </c>
      <c r="AC238">
        <v>0</v>
      </c>
      <c r="AD238">
        <v>0</v>
      </c>
      <c r="AE238" s="3" t="s">
        <v>135</v>
      </c>
      <c r="AF238">
        <v>1</v>
      </c>
      <c r="AG238">
        <v>1</v>
      </c>
      <c r="AH238">
        <v>0.2</v>
      </c>
      <c r="AI238" s="24"/>
      <c r="AJ238">
        <v>222</v>
      </c>
    </row>
    <row r="239" spans="1:36" s="13" customFormat="1" x14ac:dyDescent="0.2">
      <c r="A239">
        <f t="shared" si="51"/>
        <v>238</v>
      </c>
      <c r="B239">
        <v>3645</v>
      </c>
      <c r="C239">
        <v>3645</v>
      </c>
      <c r="D239">
        <v>0</v>
      </c>
      <c r="E239" t="s">
        <v>196</v>
      </c>
      <c r="F239" t="s">
        <v>211</v>
      </c>
      <c r="G239" t="s">
        <v>120</v>
      </c>
      <c r="H239">
        <v>3645</v>
      </c>
      <c r="I239"/>
      <c r="J239"/>
      <c r="K239"/>
      <c r="L239"/>
      <c r="M239"/>
      <c r="N239"/>
      <c r="O239" s="7"/>
      <c r="P239" s="8"/>
      <c r="Q239" s="8"/>
      <c r="R239" s="8"/>
      <c r="S239" s="8"/>
      <c r="T239"/>
      <c r="U239"/>
      <c r="V239"/>
      <c r="W239"/>
      <c r="X239"/>
      <c r="Y239"/>
      <c r="Z239"/>
      <c r="AA239"/>
      <c r="AB239">
        <v>0.25</v>
      </c>
      <c r="AC239">
        <v>0.25</v>
      </c>
      <c r="AD239">
        <v>1</v>
      </c>
      <c r="AE239" s="3" t="s">
        <v>135</v>
      </c>
      <c r="AF239">
        <v>1</v>
      </c>
      <c r="AG239">
        <v>1</v>
      </c>
      <c r="AH239">
        <v>0.2</v>
      </c>
      <c r="AI239" s="38"/>
      <c r="AJ239">
        <v>223</v>
      </c>
    </row>
    <row r="240" spans="1:36" s="13" customFormat="1" x14ac:dyDescent="0.2">
      <c r="A240">
        <f t="shared" si="51"/>
        <v>239</v>
      </c>
      <c r="B240" s="13">
        <v>3550</v>
      </c>
      <c r="C240" s="13">
        <v>3550</v>
      </c>
      <c r="D240">
        <v>0</v>
      </c>
      <c r="E240" t="s">
        <v>196</v>
      </c>
      <c r="F240" t="s">
        <v>211</v>
      </c>
      <c r="G240" t="s">
        <v>208</v>
      </c>
      <c r="H240" s="13">
        <v>3550</v>
      </c>
      <c r="AB240">
        <v>7.4499999999999997E-2</v>
      </c>
      <c r="AC240">
        <v>0.62350000000000005</v>
      </c>
      <c r="AD240">
        <v>1</v>
      </c>
      <c r="AE240" s="3" t="s">
        <v>135</v>
      </c>
      <c r="AF240">
        <v>1</v>
      </c>
      <c r="AG240">
        <v>1</v>
      </c>
      <c r="AH240">
        <v>0.2</v>
      </c>
      <c r="AI240" s="35"/>
      <c r="AJ240" s="13">
        <v>224</v>
      </c>
    </row>
    <row r="241" spans="1:36" x14ac:dyDescent="0.2">
      <c r="A241">
        <f t="shared" si="51"/>
        <v>240</v>
      </c>
      <c r="B241" s="13">
        <v>3522</v>
      </c>
      <c r="C241" s="13">
        <v>3522</v>
      </c>
      <c r="D241">
        <v>0</v>
      </c>
      <c r="E241" t="s">
        <v>196</v>
      </c>
      <c r="F241" t="s">
        <v>211</v>
      </c>
      <c r="G241" t="s">
        <v>208</v>
      </c>
      <c r="H241" s="13">
        <v>3522</v>
      </c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>
        <v>7.4499999999999997E-2</v>
      </c>
      <c r="AC241">
        <v>0.62350000000000005</v>
      </c>
      <c r="AD241">
        <v>1</v>
      </c>
      <c r="AE241" s="3" t="s">
        <v>135</v>
      </c>
      <c r="AF241">
        <v>1</v>
      </c>
      <c r="AG241">
        <v>1</v>
      </c>
      <c r="AH241">
        <v>0.2</v>
      </c>
      <c r="AI241" s="35"/>
      <c r="AJ241" s="13">
        <v>225</v>
      </c>
    </row>
    <row r="242" spans="1:36" x14ac:dyDescent="0.2">
      <c r="A242">
        <f t="shared" si="51"/>
        <v>241</v>
      </c>
      <c r="B242" s="13">
        <v>3460</v>
      </c>
      <c r="C242" s="13">
        <v>3460</v>
      </c>
      <c r="D242">
        <v>0</v>
      </c>
      <c r="E242" t="s">
        <v>196</v>
      </c>
      <c r="F242" t="s">
        <v>211</v>
      </c>
      <c r="G242" t="s">
        <v>208</v>
      </c>
      <c r="H242" s="13">
        <v>3460</v>
      </c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>
        <v>7.4499999999999997E-2</v>
      </c>
      <c r="AC242">
        <v>0.62350000000000005</v>
      </c>
      <c r="AD242">
        <v>1</v>
      </c>
      <c r="AE242" s="3" t="s">
        <v>135</v>
      </c>
      <c r="AF242">
        <v>1</v>
      </c>
      <c r="AG242">
        <v>1</v>
      </c>
      <c r="AH242">
        <v>0.2</v>
      </c>
      <c r="AI242" s="35"/>
      <c r="AJ242" s="13">
        <v>226</v>
      </c>
    </row>
    <row r="243" spans="1:36" x14ac:dyDescent="0.2">
      <c r="A243">
        <f t="shared" si="51"/>
        <v>242</v>
      </c>
      <c r="B243">
        <v>3355</v>
      </c>
      <c r="C243">
        <v>3355</v>
      </c>
      <c r="D243">
        <v>0</v>
      </c>
      <c r="E243" t="s">
        <v>196</v>
      </c>
      <c r="F243" t="s">
        <v>211</v>
      </c>
      <c r="G243" t="s">
        <v>207</v>
      </c>
      <c r="H243">
        <v>3355</v>
      </c>
      <c r="AB243">
        <v>7.4499999999999997E-2</v>
      </c>
      <c r="AC243">
        <v>0.62350000000000005</v>
      </c>
      <c r="AD243">
        <v>1</v>
      </c>
      <c r="AE243" s="3" t="s">
        <v>135</v>
      </c>
      <c r="AF243">
        <v>1</v>
      </c>
      <c r="AG243">
        <v>1</v>
      </c>
      <c r="AH243">
        <v>0.2</v>
      </c>
      <c r="AI243" s="35"/>
      <c r="AJ243">
        <v>227</v>
      </c>
    </row>
    <row r="244" spans="1:36" x14ac:dyDescent="0.2">
      <c r="A244">
        <f t="shared" si="51"/>
        <v>243</v>
      </c>
      <c r="B244">
        <v>2105</v>
      </c>
      <c r="C244">
        <v>2105</v>
      </c>
      <c r="D244">
        <v>0</v>
      </c>
      <c r="E244" t="s">
        <v>196</v>
      </c>
      <c r="F244" t="s">
        <v>211</v>
      </c>
      <c r="G244" t="s">
        <v>198</v>
      </c>
      <c r="H244">
        <v>2105</v>
      </c>
      <c r="AB244">
        <v>0.14118</v>
      </c>
      <c r="AC244">
        <v>0.54901999999999995</v>
      </c>
      <c r="AD244">
        <v>0.26274999999999998</v>
      </c>
      <c r="AE244" s="3" t="s">
        <v>135</v>
      </c>
      <c r="AF244">
        <v>1</v>
      </c>
      <c r="AG244">
        <v>1</v>
      </c>
      <c r="AH244">
        <v>0.2</v>
      </c>
      <c r="AI244" s="31"/>
      <c r="AJ244">
        <v>228</v>
      </c>
    </row>
    <row r="245" spans="1:36" x14ac:dyDescent="0.2">
      <c r="A245">
        <f t="shared" si="51"/>
        <v>244</v>
      </c>
      <c r="B245">
        <v>2200</v>
      </c>
      <c r="C245">
        <v>2200</v>
      </c>
      <c r="D245">
        <v>0</v>
      </c>
      <c r="E245" t="s">
        <v>196</v>
      </c>
      <c r="F245" t="s">
        <v>211</v>
      </c>
      <c r="G245" t="s">
        <v>198</v>
      </c>
      <c r="H245">
        <v>2180</v>
      </c>
      <c r="AB245">
        <v>0.14118</v>
      </c>
      <c r="AC245">
        <v>0.54901999999999995</v>
      </c>
      <c r="AD245">
        <v>0.26274999999999998</v>
      </c>
      <c r="AE245" s="3" t="s">
        <v>135</v>
      </c>
      <c r="AF245">
        <v>1</v>
      </c>
      <c r="AG245">
        <v>1</v>
      </c>
      <c r="AH245">
        <v>0.2</v>
      </c>
      <c r="AI245" s="31"/>
      <c r="AJ245">
        <v>228</v>
      </c>
    </row>
    <row r="246" spans="1:36" x14ac:dyDescent="0.2">
      <c r="A246">
        <f t="shared" si="51"/>
        <v>245</v>
      </c>
      <c r="B246">
        <v>2045</v>
      </c>
      <c r="C246">
        <v>2045</v>
      </c>
      <c r="D246">
        <v>0</v>
      </c>
      <c r="E246" t="s">
        <v>196</v>
      </c>
      <c r="F246" t="s">
        <v>211</v>
      </c>
      <c r="G246" t="s">
        <v>198</v>
      </c>
      <c r="H246">
        <v>2045</v>
      </c>
      <c r="AB246">
        <v>0.63529999999999998</v>
      </c>
      <c r="AC246">
        <v>0</v>
      </c>
      <c r="AD246">
        <v>0</v>
      </c>
      <c r="AE246" s="3" t="s">
        <v>135</v>
      </c>
      <c r="AF246">
        <v>1</v>
      </c>
      <c r="AG246">
        <v>1</v>
      </c>
      <c r="AH246">
        <v>0.2</v>
      </c>
      <c r="AI246" s="42"/>
      <c r="AJ246">
        <v>229</v>
      </c>
    </row>
    <row r="247" spans="1:36" x14ac:dyDescent="0.2">
      <c r="A247">
        <f t="shared" si="51"/>
        <v>246</v>
      </c>
      <c r="B247">
        <v>2068</v>
      </c>
      <c r="C247">
        <v>2068</v>
      </c>
      <c r="D247">
        <v>0</v>
      </c>
      <c r="E247" t="s">
        <v>196</v>
      </c>
      <c r="F247" t="s">
        <v>211</v>
      </c>
      <c r="G247" t="s">
        <v>198</v>
      </c>
      <c r="H247">
        <v>2068</v>
      </c>
      <c r="AB247">
        <v>0.63529999999999998</v>
      </c>
      <c r="AC247">
        <v>0</v>
      </c>
      <c r="AD247">
        <v>0</v>
      </c>
      <c r="AE247" s="3" t="s">
        <v>135</v>
      </c>
      <c r="AF247">
        <v>1</v>
      </c>
      <c r="AG247">
        <v>1</v>
      </c>
      <c r="AH247">
        <v>0.2</v>
      </c>
      <c r="AI247" s="42"/>
      <c r="AJ247">
        <v>229</v>
      </c>
    </row>
    <row r="248" spans="1:36" x14ac:dyDescent="0.2">
      <c r="A248">
        <f t="shared" si="51"/>
        <v>247</v>
      </c>
      <c r="B248">
        <v>1973</v>
      </c>
      <c r="C248">
        <v>1973</v>
      </c>
      <c r="D248">
        <v>0</v>
      </c>
      <c r="E248" t="s">
        <v>196</v>
      </c>
      <c r="F248" t="s">
        <v>211</v>
      </c>
      <c r="G248" t="s">
        <v>198</v>
      </c>
      <c r="H248">
        <v>1973</v>
      </c>
      <c r="AB248">
        <v>0.80391999999999997</v>
      </c>
      <c r="AC248">
        <v>0</v>
      </c>
      <c r="AD248">
        <v>0</v>
      </c>
      <c r="AE248" s="3" t="s">
        <v>135</v>
      </c>
      <c r="AF248">
        <v>1</v>
      </c>
      <c r="AG248">
        <v>1</v>
      </c>
      <c r="AH248">
        <v>0.2</v>
      </c>
      <c r="AI248" s="29"/>
      <c r="AJ248">
        <v>230</v>
      </c>
    </row>
    <row r="249" spans="1:36" x14ac:dyDescent="0.2">
      <c r="A249">
        <f t="shared" si="51"/>
        <v>248</v>
      </c>
      <c r="B249">
        <v>1875</v>
      </c>
      <c r="C249">
        <v>1875</v>
      </c>
      <c r="D249">
        <v>0</v>
      </c>
      <c r="E249" t="s">
        <v>196</v>
      </c>
      <c r="F249" t="s">
        <v>211</v>
      </c>
      <c r="G249" t="s">
        <v>198</v>
      </c>
      <c r="H249">
        <v>1875</v>
      </c>
      <c r="AB249">
        <v>0.7</v>
      </c>
      <c r="AC249">
        <v>0.3</v>
      </c>
      <c r="AD249">
        <v>0.1</v>
      </c>
      <c r="AE249" s="3" t="s">
        <v>135</v>
      </c>
      <c r="AF249">
        <v>1</v>
      </c>
      <c r="AG249">
        <v>1</v>
      </c>
      <c r="AH249">
        <v>0.2</v>
      </c>
      <c r="AI249" s="41"/>
      <c r="AJ249">
        <v>231</v>
      </c>
    </row>
    <row r="250" spans="1:36" x14ac:dyDescent="0.2">
      <c r="A250">
        <f t="shared" si="51"/>
        <v>249</v>
      </c>
      <c r="B250">
        <v>1894</v>
      </c>
      <c r="C250">
        <v>1894</v>
      </c>
      <c r="D250">
        <v>0</v>
      </c>
      <c r="E250" t="s">
        <v>196</v>
      </c>
      <c r="F250" t="s">
        <v>211</v>
      </c>
      <c r="G250" t="s">
        <v>198</v>
      </c>
      <c r="H250">
        <v>1894</v>
      </c>
      <c r="AB250">
        <v>0.7</v>
      </c>
      <c r="AC250">
        <v>0.3</v>
      </c>
      <c r="AD250">
        <v>0.1</v>
      </c>
      <c r="AE250" s="3" t="s">
        <v>135</v>
      </c>
      <c r="AF250">
        <v>1</v>
      </c>
      <c r="AG250">
        <v>1</v>
      </c>
      <c r="AH250">
        <v>0.2</v>
      </c>
      <c r="AI250" s="41"/>
      <c r="AJ250">
        <v>231</v>
      </c>
    </row>
    <row r="251" spans="1:36" x14ac:dyDescent="0.2">
      <c r="A251">
        <f t="shared" si="51"/>
        <v>250</v>
      </c>
      <c r="B251">
        <v>1710</v>
      </c>
      <c r="C251">
        <v>1710</v>
      </c>
      <c r="D251">
        <v>0</v>
      </c>
      <c r="E251" t="s">
        <v>196</v>
      </c>
      <c r="F251" t="s">
        <v>211</v>
      </c>
      <c r="G251" t="s">
        <v>198</v>
      </c>
      <c r="H251">
        <v>1710</v>
      </c>
      <c r="AB251">
        <v>1</v>
      </c>
      <c r="AC251">
        <v>0.4</v>
      </c>
      <c r="AD251">
        <v>0.1</v>
      </c>
      <c r="AE251" s="3" t="s">
        <v>135</v>
      </c>
      <c r="AF251">
        <v>1</v>
      </c>
      <c r="AG251">
        <v>1</v>
      </c>
      <c r="AH251">
        <v>0.2</v>
      </c>
      <c r="AI251" s="40"/>
      <c r="AJ251">
        <v>232</v>
      </c>
    </row>
    <row r="252" spans="1:36" x14ac:dyDescent="0.2">
      <c r="A252">
        <f t="shared" si="51"/>
        <v>251</v>
      </c>
      <c r="B252">
        <v>1548</v>
      </c>
      <c r="C252">
        <v>1548</v>
      </c>
      <c r="D252">
        <v>0</v>
      </c>
      <c r="E252" t="s">
        <v>196</v>
      </c>
      <c r="F252" t="s">
        <v>211</v>
      </c>
      <c r="G252" t="s">
        <v>198</v>
      </c>
      <c r="H252">
        <v>1548</v>
      </c>
      <c r="AB252">
        <v>0.98038999999999998</v>
      </c>
      <c r="AC252">
        <v>0.63922000000000001</v>
      </c>
      <c r="AD252">
        <v>2.7451E-2</v>
      </c>
      <c r="AE252" s="3" t="s">
        <v>135</v>
      </c>
      <c r="AF252">
        <v>1</v>
      </c>
      <c r="AG252">
        <v>1</v>
      </c>
      <c r="AH252">
        <v>0.2</v>
      </c>
      <c r="AI252" s="34"/>
      <c r="AJ252">
        <v>233</v>
      </c>
    </row>
    <row r="253" spans="1:36" x14ac:dyDescent="0.2">
      <c r="A253">
        <f t="shared" si="51"/>
        <v>252</v>
      </c>
      <c r="B253">
        <v>1634</v>
      </c>
      <c r="C253">
        <v>1634</v>
      </c>
      <c r="D253">
        <v>0</v>
      </c>
      <c r="E253" t="s">
        <v>196</v>
      </c>
      <c r="F253" t="s">
        <v>211</v>
      </c>
      <c r="G253" t="s">
        <v>198</v>
      </c>
      <c r="H253">
        <v>1634</v>
      </c>
      <c r="AB253">
        <v>0.80391999999999997</v>
      </c>
      <c r="AC253">
        <v>0</v>
      </c>
      <c r="AD253">
        <v>0</v>
      </c>
      <c r="AE253" s="3" t="s">
        <v>135</v>
      </c>
      <c r="AF253">
        <v>1</v>
      </c>
      <c r="AG253">
        <v>1</v>
      </c>
      <c r="AH253">
        <v>0.2</v>
      </c>
      <c r="AI253" s="29"/>
      <c r="AJ253">
        <v>233</v>
      </c>
    </row>
    <row r="254" spans="1:36" x14ac:dyDescent="0.2">
      <c r="A254">
        <f t="shared" si="51"/>
        <v>253</v>
      </c>
      <c r="B254">
        <v>1382</v>
      </c>
      <c r="C254">
        <v>1382</v>
      </c>
      <c r="D254">
        <v>0</v>
      </c>
      <c r="E254" t="s">
        <v>196</v>
      </c>
      <c r="F254" t="s">
        <v>211</v>
      </c>
      <c r="G254" t="s">
        <v>198</v>
      </c>
      <c r="H254">
        <v>1382</v>
      </c>
      <c r="AB254">
        <v>0</v>
      </c>
      <c r="AC254">
        <v>0</v>
      </c>
      <c r="AD254">
        <v>0</v>
      </c>
      <c r="AE254" s="3" t="s">
        <v>135</v>
      </c>
      <c r="AF254">
        <v>1</v>
      </c>
      <c r="AG254">
        <v>1</v>
      </c>
      <c r="AH254">
        <v>0.2</v>
      </c>
      <c r="AI254" s="24"/>
      <c r="AJ254">
        <v>234</v>
      </c>
    </row>
    <row r="255" spans="1:36" x14ac:dyDescent="0.2">
      <c r="A255">
        <f t="shared" si="51"/>
        <v>254</v>
      </c>
      <c r="B255" s="7">
        <v>3512</v>
      </c>
      <c r="C255" s="7">
        <v>3512</v>
      </c>
      <c r="D255">
        <v>0</v>
      </c>
      <c r="E255" t="s">
        <v>196</v>
      </c>
      <c r="F255" t="s">
        <v>205</v>
      </c>
      <c r="G255" t="s">
        <v>208</v>
      </c>
      <c r="H255" s="7">
        <v>3512</v>
      </c>
      <c r="AB255">
        <v>7.4499999999999997E-2</v>
      </c>
      <c r="AC255">
        <v>0.62350000000000005</v>
      </c>
      <c r="AD255">
        <v>1</v>
      </c>
      <c r="AE255" s="3" t="s">
        <v>135</v>
      </c>
      <c r="AF255">
        <v>1</v>
      </c>
      <c r="AG255">
        <v>1</v>
      </c>
      <c r="AH255">
        <v>0.2</v>
      </c>
      <c r="AI255" s="35"/>
      <c r="AJ255">
        <v>235</v>
      </c>
    </row>
    <row r="256" spans="1:36" x14ac:dyDescent="0.2">
      <c r="A256">
        <f t="shared" si="51"/>
        <v>255</v>
      </c>
      <c r="B256">
        <v>3410</v>
      </c>
      <c r="C256">
        <v>3410</v>
      </c>
      <c r="D256">
        <v>0</v>
      </c>
      <c r="E256" t="s">
        <v>196</v>
      </c>
      <c r="F256" t="s">
        <v>205</v>
      </c>
      <c r="G256" t="s">
        <v>206</v>
      </c>
      <c r="H256">
        <v>3410</v>
      </c>
      <c r="AB256">
        <v>0.2</v>
      </c>
      <c r="AC256">
        <v>0.2</v>
      </c>
      <c r="AD256">
        <v>0.2</v>
      </c>
      <c r="AE256" s="3" t="s">
        <v>135</v>
      </c>
      <c r="AF256">
        <v>1</v>
      </c>
      <c r="AG256">
        <v>1</v>
      </c>
      <c r="AH256">
        <v>0.2</v>
      </c>
      <c r="AI256" s="26"/>
      <c r="AJ256">
        <v>236</v>
      </c>
    </row>
    <row r="257" spans="1:36" x14ac:dyDescent="0.2">
      <c r="A257">
        <f t="shared" si="51"/>
        <v>256</v>
      </c>
      <c r="B257">
        <v>2146</v>
      </c>
      <c r="C257">
        <v>2146</v>
      </c>
      <c r="D257">
        <v>0</v>
      </c>
      <c r="E257" t="s">
        <v>196</v>
      </c>
      <c r="F257" t="s">
        <v>205</v>
      </c>
      <c r="G257" t="s">
        <v>198</v>
      </c>
      <c r="H257">
        <v>2146</v>
      </c>
      <c r="AB257">
        <v>0.14118</v>
      </c>
      <c r="AC257">
        <v>0.54901999999999995</v>
      </c>
      <c r="AD257">
        <v>0.26274999999999998</v>
      </c>
      <c r="AE257" s="3" t="s">
        <v>135</v>
      </c>
      <c r="AF257">
        <v>1</v>
      </c>
      <c r="AG257">
        <v>1</v>
      </c>
      <c r="AH257">
        <v>0.2</v>
      </c>
      <c r="AI257" s="31"/>
      <c r="AJ257">
        <v>237</v>
      </c>
    </row>
    <row r="258" spans="1:36" x14ac:dyDescent="0.2">
      <c r="A258">
        <f t="shared" si="51"/>
        <v>257</v>
      </c>
      <c r="B258">
        <v>2070</v>
      </c>
      <c r="C258">
        <v>2070</v>
      </c>
      <c r="D258">
        <v>0</v>
      </c>
      <c r="E258" t="s">
        <v>196</v>
      </c>
      <c r="F258" t="s">
        <v>205</v>
      </c>
      <c r="G258" t="s">
        <v>198</v>
      </c>
      <c r="H258">
        <v>2070</v>
      </c>
      <c r="AB258">
        <v>0.63529999999999998</v>
      </c>
      <c r="AC258">
        <v>0</v>
      </c>
      <c r="AD258">
        <v>0</v>
      </c>
      <c r="AE258" s="3" t="s">
        <v>135</v>
      </c>
      <c r="AF258">
        <v>1</v>
      </c>
      <c r="AG258">
        <v>1</v>
      </c>
      <c r="AH258">
        <v>0.2</v>
      </c>
      <c r="AI258" s="42"/>
      <c r="AJ258">
        <v>238</v>
      </c>
    </row>
    <row r="259" spans="1:36" x14ac:dyDescent="0.2">
      <c r="A259">
        <f t="shared" si="51"/>
        <v>258</v>
      </c>
      <c r="B259">
        <v>1944</v>
      </c>
      <c r="C259">
        <v>1944</v>
      </c>
      <c r="D259">
        <v>0</v>
      </c>
      <c r="E259" t="s">
        <v>196</v>
      </c>
      <c r="F259" t="s">
        <v>205</v>
      </c>
      <c r="G259" t="s">
        <v>198</v>
      </c>
      <c r="H259">
        <v>1944</v>
      </c>
      <c r="AB259">
        <v>0.4</v>
      </c>
      <c r="AC259">
        <v>0.40392</v>
      </c>
      <c r="AD259">
        <v>0.4</v>
      </c>
      <c r="AE259" s="3" t="s">
        <v>135</v>
      </c>
      <c r="AF259">
        <v>1</v>
      </c>
      <c r="AG259">
        <v>1</v>
      </c>
      <c r="AH259">
        <v>0.2</v>
      </c>
      <c r="AI259" s="33"/>
      <c r="AJ259">
        <v>239</v>
      </c>
    </row>
    <row r="260" spans="1:36" x14ac:dyDescent="0.2">
      <c r="A260">
        <f t="shared" ref="A260:A323" si="52">A259+1</f>
        <v>259</v>
      </c>
      <c r="B260">
        <v>1836</v>
      </c>
      <c r="C260">
        <v>1836</v>
      </c>
      <c r="D260">
        <v>0</v>
      </c>
      <c r="E260" t="s">
        <v>196</v>
      </c>
      <c r="F260" t="s">
        <v>205</v>
      </c>
      <c r="G260" t="s">
        <v>198</v>
      </c>
      <c r="H260">
        <v>1836</v>
      </c>
      <c r="AB260">
        <v>0.7</v>
      </c>
      <c r="AC260">
        <v>0.3</v>
      </c>
      <c r="AD260">
        <v>0.1</v>
      </c>
      <c r="AE260" s="3" t="s">
        <v>135</v>
      </c>
      <c r="AF260">
        <v>1</v>
      </c>
      <c r="AG260">
        <v>1</v>
      </c>
      <c r="AH260">
        <v>0.2</v>
      </c>
      <c r="AI260" s="41"/>
      <c r="AJ260">
        <v>240</v>
      </c>
    </row>
    <row r="261" spans="1:36" x14ac:dyDescent="0.2">
      <c r="A261">
        <f t="shared" si="52"/>
        <v>260</v>
      </c>
      <c r="B261">
        <v>1749</v>
      </c>
      <c r="C261">
        <v>1749</v>
      </c>
      <c r="D261">
        <v>0</v>
      </c>
      <c r="E261" t="s">
        <v>196</v>
      </c>
      <c r="F261" t="s">
        <v>205</v>
      </c>
      <c r="G261" t="s">
        <v>198</v>
      </c>
      <c r="H261">
        <v>1749</v>
      </c>
      <c r="AB261">
        <v>1</v>
      </c>
      <c r="AC261">
        <v>0.4</v>
      </c>
      <c r="AD261">
        <v>0.1</v>
      </c>
      <c r="AE261" s="3" t="s">
        <v>135</v>
      </c>
      <c r="AF261">
        <v>1</v>
      </c>
      <c r="AG261">
        <v>1</v>
      </c>
      <c r="AH261">
        <v>0.2</v>
      </c>
      <c r="AI261" s="40"/>
      <c r="AJ261">
        <v>241</v>
      </c>
    </row>
    <row r="262" spans="1:36" x14ac:dyDescent="0.2">
      <c r="A262">
        <f t="shared" si="52"/>
        <v>261</v>
      </c>
      <c r="B262">
        <v>1661</v>
      </c>
      <c r="C262">
        <v>1661</v>
      </c>
      <c r="D262">
        <v>0</v>
      </c>
      <c r="E262" t="s">
        <v>196</v>
      </c>
      <c r="F262" t="s">
        <v>205</v>
      </c>
      <c r="G262" t="s">
        <v>198</v>
      </c>
      <c r="H262">
        <v>1661</v>
      </c>
      <c r="AB262">
        <v>0.80391999999999997</v>
      </c>
      <c r="AC262">
        <v>0</v>
      </c>
      <c r="AD262">
        <v>0</v>
      </c>
      <c r="AE262" s="3" t="s">
        <v>135</v>
      </c>
      <c r="AF262">
        <v>1</v>
      </c>
      <c r="AG262">
        <v>1</v>
      </c>
      <c r="AH262">
        <v>0.2</v>
      </c>
      <c r="AI262" s="29"/>
      <c r="AJ262">
        <v>242</v>
      </c>
    </row>
    <row r="263" spans="1:36" x14ac:dyDescent="0.2">
      <c r="A263">
        <f t="shared" si="52"/>
        <v>262</v>
      </c>
      <c r="B263">
        <v>1585</v>
      </c>
      <c r="C263">
        <v>1585</v>
      </c>
      <c r="D263">
        <v>0</v>
      </c>
      <c r="E263" t="s">
        <v>196</v>
      </c>
      <c r="F263" t="s">
        <v>205</v>
      </c>
      <c r="G263" t="s">
        <v>198</v>
      </c>
      <c r="H263">
        <v>1585</v>
      </c>
      <c r="AB263">
        <v>0.80391999999999997</v>
      </c>
      <c r="AC263">
        <v>0</v>
      </c>
      <c r="AD263">
        <v>0</v>
      </c>
      <c r="AE263" s="3" t="s">
        <v>135</v>
      </c>
      <c r="AF263">
        <v>1</v>
      </c>
      <c r="AG263">
        <v>1</v>
      </c>
      <c r="AH263">
        <v>0.2</v>
      </c>
      <c r="AI263" s="29"/>
      <c r="AJ263">
        <v>243</v>
      </c>
    </row>
    <row r="264" spans="1:36" x14ac:dyDescent="0.2">
      <c r="A264">
        <f t="shared" si="52"/>
        <v>263</v>
      </c>
      <c r="B264">
        <v>1509</v>
      </c>
      <c r="C264">
        <v>1509</v>
      </c>
      <c r="D264">
        <v>0</v>
      </c>
      <c r="E264" t="s">
        <v>196</v>
      </c>
      <c r="F264" t="s">
        <v>205</v>
      </c>
      <c r="G264" t="s">
        <v>198</v>
      </c>
      <c r="H264">
        <v>1509</v>
      </c>
      <c r="AB264">
        <v>0.98038999999999998</v>
      </c>
      <c r="AC264">
        <v>0.63922000000000001</v>
      </c>
      <c r="AD264">
        <v>2.7451E-2</v>
      </c>
      <c r="AE264" s="3" t="s">
        <v>135</v>
      </c>
      <c r="AF264">
        <v>1</v>
      </c>
      <c r="AG264">
        <v>1</v>
      </c>
      <c r="AH264">
        <v>0.2</v>
      </c>
      <c r="AI264" s="34"/>
      <c r="AJ264">
        <v>244</v>
      </c>
    </row>
    <row r="265" spans="1:36" x14ac:dyDescent="0.2">
      <c r="A265">
        <f t="shared" si="52"/>
        <v>264</v>
      </c>
      <c r="B265">
        <v>1472</v>
      </c>
      <c r="C265">
        <v>1472</v>
      </c>
      <c r="D265">
        <v>0</v>
      </c>
      <c r="E265" t="s">
        <v>196</v>
      </c>
      <c r="F265" t="s">
        <v>216</v>
      </c>
      <c r="G265" t="s">
        <v>198</v>
      </c>
      <c r="H265">
        <v>1382</v>
      </c>
      <c r="AB265">
        <v>0</v>
      </c>
      <c r="AC265">
        <v>0</v>
      </c>
      <c r="AD265">
        <v>0</v>
      </c>
      <c r="AE265" s="3" t="s">
        <v>135</v>
      </c>
      <c r="AF265">
        <v>1</v>
      </c>
      <c r="AG265">
        <v>1</v>
      </c>
      <c r="AH265">
        <v>0.2</v>
      </c>
      <c r="AI265" s="24"/>
      <c r="AJ265">
        <v>162</v>
      </c>
    </row>
    <row r="266" spans="1:36" x14ac:dyDescent="0.2">
      <c r="A266">
        <f t="shared" si="52"/>
        <v>265</v>
      </c>
      <c r="B266">
        <v>1545</v>
      </c>
      <c r="C266">
        <v>1545</v>
      </c>
      <c r="D266">
        <v>0</v>
      </c>
      <c r="E266" t="s">
        <v>196</v>
      </c>
      <c r="F266" t="s">
        <v>216</v>
      </c>
      <c r="G266" t="s">
        <v>198</v>
      </c>
      <c r="H266">
        <v>1548</v>
      </c>
      <c r="AB266">
        <v>0.98038999999999998</v>
      </c>
      <c r="AC266">
        <v>0.63922000000000001</v>
      </c>
      <c r="AD266">
        <v>2.7451E-2</v>
      </c>
      <c r="AE266" s="3" t="s">
        <v>135</v>
      </c>
      <c r="AF266">
        <v>1</v>
      </c>
      <c r="AG266">
        <v>1</v>
      </c>
      <c r="AH266">
        <v>0.2</v>
      </c>
      <c r="AI266" s="34"/>
      <c r="AJ266">
        <v>163</v>
      </c>
    </row>
    <row r="267" spans="1:36" x14ac:dyDescent="0.2">
      <c r="A267">
        <f t="shared" si="52"/>
        <v>266</v>
      </c>
      <c r="B267">
        <v>1867</v>
      </c>
      <c r="C267">
        <v>1867</v>
      </c>
      <c r="D267">
        <v>0</v>
      </c>
      <c r="E267" t="s">
        <v>196</v>
      </c>
      <c r="F267" t="s">
        <v>216</v>
      </c>
      <c r="G267" t="s">
        <v>198</v>
      </c>
      <c r="H267">
        <v>1855</v>
      </c>
      <c r="AB267">
        <v>0.7</v>
      </c>
      <c r="AC267">
        <v>0.3</v>
      </c>
      <c r="AD267">
        <v>0.1</v>
      </c>
      <c r="AE267" s="3" t="s">
        <v>135</v>
      </c>
      <c r="AF267">
        <v>1</v>
      </c>
      <c r="AG267">
        <v>1</v>
      </c>
      <c r="AH267">
        <v>0.2</v>
      </c>
      <c r="AI267" s="41"/>
      <c r="AJ267">
        <v>167</v>
      </c>
    </row>
    <row r="268" spans="1:36" x14ac:dyDescent="0.2">
      <c r="A268">
        <f t="shared" si="52"/>
        <v>267</v>
      </c>
      <c r="B268">
        <v>1894</v>
      </c>
      <c r="C268">
        <v>1894</v>
      </c>
      <c r="D268">
        <v>0</v>
      </c>
      <c r="E268" t="s">
        <v>196</v>
      </c>
      <c r="F268" t="s">
        <v>216</v>
      </c>
      <c r="G268" t="s">
        <v>198</v>
      </c>
      <c r="H268">
        <v>1894</v>
      </c>
      <c r="AB268">
        <v>0.7</v>
      </c>
      <c r="AC268">
        <v>0.3</v>
      </c>
      <c r="AD268">
        <v>0.1</v>
      </c>
      <c r="AE268" s="3" t="s">
        <v>135</v>
      </c>
      <c r="AF268">
        <v>1</v>
      </c>
      <c r="AG268">
        <v>1</v>
      </c>
      <c r="AH268">
        <v>0.2</v>
      </c>
      <c r="AI268" s="41"/>
      <c r="AJ268">
        <v>169</v>
      </c>
    </row>
    <row r="269" spans="1:36" x14ac:dyDescent="0.2">
      <c r="A269">
        <f t="shared" si="52"/>
        <v>268</v>
      </c>
      <c r="B269">
        <v>1973</v>
      </c>
      <c r="C269">
        <v>1973</v>
      </c>
      <c r="D269">
        <v>0</v>
      </c>
      <c r="E269" t="s">
        <v>196</v>
      </c>
      <c r="F269" t="s">
        <v>216</v>
      </c>
      <c r="G269" t="s">
        <v>198</v>
      </c>
      <c r="H269">
        <v>1973</v>
      </c>
      <c r="AB269">
        <v>0.80391999999999997</v>
      </c>
      <c r="AC269">
        <v>0</v>
      </c>
      <c r="AD269">
        <v>0</v>
      </c>
      <c r="AE269" s="3" t="s">
        <v>135</v>
      </c>
      <c r="AF269">
        <v>1</v>
      </c>
      <c r="AG269">
        <v>1</v>
      </c>
      <c r="AH269">
        <v>0.2</v>
      </c>
      <c r="AI269" s="29"/>
      <c r="AJ269">
        <v>170</v>
      </c>
    </row>
    <row r="270" spans="1:36" x14ac:dyDescent="0.2">
      <c r="A270">
        <f t="shared" si="52"/>
        <v>269</v>
      </c>
      <c r="B270">
        <v>2035</v>
      </c>
      <c r="C270">
        <v>2035</v>
      </c>
      <c r="D270">
        <v>0</v>
      </c>
      <c r="E270" t="s">
        <v>196</v>
      </c>
      <c r="F270" t="s">
        <v>216</v>
      </c>
      <c r="G270" t="s">
        <v>198</v>
      </c>
      <c r="H270">
        <v>2068</v>
      </c>
      <c r="AB270">
        <v>0.63529999999999998</v>
      </c>
      <c r="AC270">
        <v>0</v>
      </c>
      <c r="AD270">
        <v>0</v>
      </c>
      <c r="AE270" s="3" t="s">
        <v>135</v>
      </c>
      <c r="AF270">
        <v>1</v>
      </c>
      <c r="AG270">
        <v>1</v>
      </c>
      <c r="AH270">
        <v>0.2</v>
      </c>
      <c r="AI270" s="42"/>
      <c r="AJ270">
        <v>172</v>
      </c>
    </row>
    <row r="271" spans="1:36" x14ac:dyDescent="0.2">
      <c r="A271">
        <f t="shared" si="52"/>
        <v>270</v>
      </c>
      <c r="B271">
        <v>2105</v>
      </c>
      <c r="C271">
        <v>2105</v>
      </c>
      <c r="D271">
        <v>0</v>
      </c>
      <c r="E271" t="s">
        <v>196</v>
      </c>
      <c r="F271" t="s">
        <v>216</v>
      </c>
      <c r="G271" t="s">
        <v>198</v>
      </c>
      <c r="H271">
        <v>2105</v>
      </c>
      <c r="AB271">
        <v>0.14118</v>
      </c>
      <c r="AC271">
        <v>0.54901999999999995</v>
      </c>
      <c r="AD271">
        <v>0.26274999999999998</v>
      </c>
      <c r="AE271" s="3" t="s">
        <v>135</v>
      </c>
      <c r="AF271">
        <v>1</v>
      </c>
      <c r="AG271">
        <v>1</v>
      </c>
      <c r="AH271">
        <v>0.2</v>
      </c>
      <c r="AI271" s="31"/>
      <c r="AJ271">
        <v>173</v>
      </c>
    </row>
    <row r="272" spans="1:36" x14ac:dyDescent="0.2">
      <c r="A272">
        <f t="shared" si="52"/>
        <v>271</v>
      </c>
      <c r="B272">
        <v>3355</v>
      </c>
      <c r="C272">
        <v>3355</v>
      </c>
      <c r="D272">
        <v>0</v>
      </c>
      <c r="E272" t="s">
        <v>196</v>
      </c>
      <c r="F272" t="s">
        <v>216</v>
      </c>
      <c r="G272" t="s">
        <v>207</v>
      </c>
      <c r="H272">
        <v>3355</v>
      </c>
      <c r="AB272">
        <v>7.4499999999999997E-2</v>
      </c>
      <c r="AC272">
        <v>0.62350000000000005</v>
      </c>
      <c r="AD272">
        <v>1</v>
      </c>
      <c r="AE272" s="3" t="s">
        <v>135</v>
      </c>
      <c r="AF272">
        <v>1</v>
      </c>
      <c r="AG272">
        <v>1</v>
      </c>
      <c r="AH272">
        <v>0.2</v>
      </c>
      <c r="AI272" s="35"/>
      <c r="AJ272">
        <v>175</v>
      </c>
    </row>
    <row r="273" spans="1:36" x14ac:dyDescent="0.2">
      <c r="A273">
        <f t="shared" si="52"/>
        <v>272</v>
      </c>
      <c r="B273">
        <v>3460</v>
      </c>
      <c r="C273">
        <v>3460</v>
      </c>
      <c r="D273">
        <v>0</v>
      </c>
      <c r="E273" t="s">
        <v>196</v>
      </c>
      <c r="F273" t="s">
        <v>216</v>
      </c>
      <c r="G273" t="s">
        <v>208</v>
      </c>
      <c r="H273">
        <v>3460</v>
      </c>
      <c r="O273"/>
      <c r="P273"/>
      <c r="Q273"/>
      <c r="R273"/>
      <c r="S273"/>
      <c r="AB273">
        <v>7.4499999999999997E-2</v>
      </c>
      <c r="AC273">
        <v>0.62350000000000005</v>
      </c>
      <c r="AD273">
        <v>1</v>
      </c>
      <c r="AE273" s="3" t="s">
        <v>135</v>
      </c>
      <c r="AF273">
        <v>1</v>
      </c>
      <c r="AG273">
        <v>1</v>
      </c>
      <c r="AH273">
        <v>0.2</v>
      </c>
      <c r="AI273" s="35"/>
      <c r="AJ273">
        <v>176</v>
      </c>
    </row>
    <row r="274" spans="1:36" x14ac:dyDescent="0.2">
      <c r="A274">
        <f t="shared" si="52"/>
        <v>273</v>
      </c>
      <c r="B274">
        <v>3522</v>
      </c>
      <c r="C274">
        <v>3522</v>
      </c>
      <c r="D274">
        <v>0</v>
      </c>
      <c r="E274" t="s">
        <v>196</v>
      </c>
      <c r="F274" t="s">
        <v>216</v>
      </c>
      <c r="G274" t="s">
        <v>208</v>
      </c>
      <c r="H274">
        <v>3522</v>
      </c>
      <c r="O274"/>
      <c r="P274"/>
      <c r="Q274"/>
      <c r="R274"/>
      <c r="S274"/>
      <c r="AB274">
        <v>7.4499999999999997E-2</v>
      </c>
      <c r="AC274">
        <v>0.62350000000000005</v>
      </c>
      <c r="AD274">
        <v>1</v>
      </c>
      <c r="AE274" s="3" t="s">
        <v>135</v>
      </c>
      <c r="AF274">
        <v>1</v>
      </c>
      <c r="AG274">
        <v>1</v>
      </c>
      <c r="AH274">
        <v>0.2</v>
      </c>
      <c r="AI274" s="35"/>
      <c r="AJ274">
        <v>177</v>
      </c>
    </row>
    <row r="275" spans="1:36" x14ac:dyDescent="0.2">
      <c r="A275">
        <f t="shared" si="52"/>
        <v>274</v>
      </c>
      <c r="B275">
        <v>3550</v>
      </c>
      <c r="C275">
        <v>3550</v>
      </c>
      <c r="D275">
        <v>0</v>
      </c>
      <c r="E275" t="s">
        <v>196</v>
      </c>
      <c r="F275" t="s">
        <v>216</v>
      </c>
      <c r="G275" t="s">
        <v>208</v>
      </c>
      <c r="H275">
        <v>3550</v>
      </c>
      <c r="O275"/>
      <c r="P275"/>
      <c r="Q275"/>
      <c r="R275"/>
      <c r="S275"/>
      <c r="AB275">
        <v>7.4499999999999997E-2</v>
      </c>
      <c r="AC275">
        <v>0.62350000000000005</v>
      </c>
      <c r="AD275">
        <v>1</v>
      </c>
      <c r="AE275" s="3" t="s">
        <v>135</v>
      </c>
      <c r="AF275">
        <v>1</v>
      </c>
      <c r="AG275">
        <v>1</v>
      </c>
      <c r="AH275">
        <v>0.2</v>
      </c>
      <c r="AI275" s="35"/>
      <c r="AJ275">
        <v>178</v>
      </c>
    </row>
    <row r="276" spans="1:36" x14ac:dyDescent="0.2">
      <c r="A276">
        <f t="shared" si="52"/>
        <v>275</v>
      </c>
      <c r="B276">
        <v>3645</v>
      </c>
      <c r="C276">
        <v>3645</v>
      </c>
      <c r="D276">
        <v>0</v>
      </c>
      <c r="E276" t="s">
        <v>196</v>
      </c>
      <c r="F276" t="s">
        <v>216</v>
      </c>
      <c r="G276" t="s">
        <v>120</v>
      </c>
      <c r="H276">
        <v>3645</v>
      </c>
      <c r="AB276">
        <v>0.25</v>
      </c>
      <c r="AC276">
        <v>0.25</v>
      </c>
      <c r="AD276">
        <v>1</v>
      </c>
      <c r="AE276" s="3" t="s">
        <v>135</v>
      </c>
      <c r="AF276">
        <v>1</v>
      </c>
      <c r="AG276">
        <v>1</v>
      </c>
      <c r="AH276">
        <v>0.2</v>
      </c>
      <c r="AI276" s="38"/>
      <c r="AJ276">
        <v>179</v>
      </c>
    </row>
    <row r="277" spans="1:36" x14ac:dyDescent="0.2">
      <c r="A277">
        <f t="shared" si="52"/>
        <v>276</v>
      </c>
      <c r="B277">
        <v>1600</v>
      </c>
      <c r="C277">
        <v>1600</v>
      </c>
      <c r="D277">
        <v>0</v>
      </c>
      <c r="E277" t="s">
        <v>138</v>
      </c>
      <c r="F277" t="s">
        <v>198</v>
      </c>
      <c r="G277" t="str">
        <f>F277&amp;"_"&amp;C277</f>
        <v>Si-O Overtone_1600</v>
      </c>
      <c r="H277">
        <v>1600</v>
      </c>
      <c r="AB277">
        <v>0</v>
      </c>
      <c r="AC277">
        <v>0</v>
      </c>
      <c r="AD277">
        <v>0</v>
      </c>
      <c r="AE277" s="3" t="s">
        <v>135</v>
      </c>
      <c r="AF277">
        <v>1</v>
      </c>
      <c r="AG277">
        <v>1</v>
      </c>
      <c r="AH277">
        <v>0.2</v>
      </c>
      <c r="AI277" s="24"/>
    </row>
    <row r="278" spans="1:36" x14ac:dyDescent="0.2">
      <c r="A278">
        <f t="shared" si="52"/>
        <v>277</v>
      </c>
      <c r="B278">
        <v>1671</v>
      </c>
      <c r="C278">
        <v>1671</v>
      </c>
      <c r="D278">
        <v>0</v>
      </c>
      <c r="E278" t="s">
        <v>138</v>
      </c>
      <c r="F278" t="s">
        <v>198</v>
      </c>
      <c r="G278" t="s">
        <v>218</v>
      </c>
      <c r="H278">
        <v>1671</v>
      </c>
      <c r="AB278">
        <v>0.39219999999999999</v>
      </c>
      <c r="AC278">
        <v>0.83140000000000003</v>
      </c>
      <c r="AD278">
        <v>7.4499999999999997E-2</v>
      </c>
      <c r="AE278" s="3" t="s">
        <v>135</v>
      </c>
      <c r="AF278">
        <v>1</v>
      </c>
      <c r="AG278">
        <v>1</v>
      </c>
      <c r="AH278">
        <v>0.2</v>
      </c>
      <c r="AI278" s="43"/>
    </row>
    <row r="279" spans="1:36" x14ac:dyDescent="0.2">
      <c r="A279">
        <f t="shared" si="52"/>
        <v>278</v>
      </c>
      <c r="B279">
        <v>1777</v>
      </c>
      <c r="C279">
        <v>1777</v>
      </c>
      <c r="D279">
        <v>0</v>
      </c>
      <c r="E279" t="s">
        <v>138</v>
      </c>
      <c r="F279" t="s">
        <v>198</v>
      </c>
      <c r="G279" t="s">
        <v>219</v>
      </c>
      <c r="H279">
        <v>1777</v>
      </c>
      <c r="AB279">
        <v>7.4499999999999997E-2</v>
      </c>
      <c r="AC279">
        <v>0.62350000000000005</v>
      </c>
      <c r="AD279">
        <v>1</v>
      </c>
      <c r="AE279" s="3" t="s">
        <v>135</v>
      </c>
      <c r="AF279">
        <v>1</v>
      </c>
      <c r="AG279">
        <v>1</v>
      </c>
      <c r="AH279">
        <v>0.2</v>
      </c>
      <c r="AI279" s="35"/>
    </row>
    <row r="280" spans="1:36" x14ac:dyDescent="0.2">
      <c r="A280">
        <f t="shared" si="52"/>
        <v>279</v>
      </c>
      <c r="B280">
        <v>1838</v>
      </c>
      <c r="C280">
        <v>1838</v>
      </c>
      <c r="D280">
        <v>0</v>
      </c>
      <c r="E280" t="s">
        <v>138</v>
      </c>
      <c r="F280" t="s">
        <v>198</v>
      </c>
      <c r="G280" t="str">
        <f>"OT_"&amp;C280</f>
        <v>OT_1838</v>
      </c>
      <c r="H280">
        <v>1838</v>
      </c>
      <c r="AB280">
        <v>0</v>
      </c>
      <c r="AC280">
        <v>0</v>
      </c>
      <c r="AD280">
        <v>0</v>
      </c>
      <c r="AE280" s="3" t="s">
        <v>135</v>
      </c>
      <c r="AF280">
        <v>1</v>
      </c>
      <c r="AG280">
        <v>1</v>
      </c>
      <c r="AH280">
        <v>0.2</v>
      </c>
      <c r="AI280" s="24"/>
    </row>
    <row r="281" spans="1:36" x14ac:dyDescent="0.2">
      <c r="A281">
        <f t="shared" si="52"/>
        <v>280</v>
      </c>
      <c r="B281">
        <v>1924</v>
      </c>
      <c r="C281">
        <v>1924</v>
      </c>
      <c r="D281">
        <v>0</v>
      </c>
      <c r="E281" t="s">
        <v>138</v>
      </c>
      <c r="F281" t="s">
        <v>198</v>
      </c>
      <c r="G281" t="str">
        <f t="shared" ref="G281:G282" si="53">"OT_"&amp;C281</f>
        <v>OT_1924</v>
      </c>
      <c r="H281">
        <v>1924</v>
      </c>
      <c r="AB281">
        <v>0</v>
      </c>
      <c r="AC281">
        <v>0</v>
      </c>
      <c r="AD281">
        <v>0</v>
      </c>
      <c r="AE281" s="3" t="s">
        <v>135</v>
      </c>
      <c r="AF281">
        <v>1</v>
      </c>
      <c r="AG281">
        <v>1</v>
      </c>
      <c r="AH281">
        <v>0.2</v>
      </c>
      <c r="AI281" s="24"/>
    </row>
    <row r="282" spans="1:36" x14ac:dyDescent="0.2">
      <c r="A282">
        <f t="shared" si="52"/>
        <v>281</v>
      </c>
      <c r="B282">
        <v>1963</v>
      </c>
      <c r="C282">
        <v>1963</v>
      </c>
      <c r="D282">
        <v>0</v>
      </c>
      <c r="E282" t="s">
        <v>138</v>
      </c>
      <c r="F282" t="s">
        <v>198</v>
      </c>
      <c r="G282" t="str">
        <f t="shared" si="53"/>
        <v>OT_1963</v>
      </c>
      <c r="H282">
        <v>1963</v>
      </c>
      <c r="AB282">
        <v>0</v>
      </c>
      <c r="AC282">
        <v>0</v>
      </c>
      <c r="AD282">
        <v>0</v>
      </c>
      <c r="AE282" s="3" t="s">
        <v>135</v>
      </c>
      <c r="AF282">
        <v>1</v>
      </c>
      <c r="AG282">
        <v>1</v>
      </c>
      <c r="AH282">
        <v>0.2</v>
      </c>
      <c r="AI282" s="24"/>
    </row>
    <row r="283" spans="1:36" x14ac:dyDescent="0.2">
      <c r="A283">
        <f t="shared" si="52"/>
        <v>282</v>
      </c>
      <c r="B283">
        <v>2031</v>
      </c>
      <c r="C283">
        <v>2031</v>
      </c>
      <c r="D283">
        <v>0</v>
      </c>
      <c r="E283" t="s">
        <v>138</v>
      </c>
      <c r="F283" t="s">
        <v>198</v>
      </c>
      <c r="G283" t="s">
        <v>217</v>
      </c>
      <c r="H283">
        <v>2031</v>
      </c>
      <c r="AB283">
        <v>0.85099999999999998</v>
      </c>
      <c r="AC283">
        <v>0.32550000000000001</v>
      </c>
      <c r="AD283">
        <v>9.8000000000000004E-2</v>
      </c>
      <c r="AE283" s="3" t="s">
        <v>135</v>
      </c>
      <c r="AF283">
        <v>1</v>
      </c>
      <c r="AG283">
        <v>1</v>
      </c>
      <c r="AH283">
        <v>0.2</v>
      </c>
      <c r="AI283" s="44"/>
    </row>
    <row r="284" spans="1:36" x14ac:dyDescent="0.2">
      <c r="A284">
        <f t="shared" si="52"/>
        <v>283</v>
      </c>
      <c r="B284">
        <v>3514</v>
      </c>
      <c r="C284">
        <v>3514</v>
      </c>
      <c r="D284">
        <v>0</v>
      </c>
      <c r="E284" t="s">
        <v>138</v>
      </c>
      <c r="F284" t="s">
        <v>220</v>
      </c>
      <c r="G284" t="str">
        <f t="shared" ref="G284:G285" si="54">"_"&amp;C284</f>
        <v>_3514</v>
      </c>
      <c r="H284">
        <v>3514</v>
      </c>
      <c r="AB284">
        <v>0</v>
      </c>
      <c r="AC284">
        <v>0</v>
      </c>
      <c r="AD284">
        <v>1</v>
      </c>
      <c r="AE284" s="3" t="s">
        <v>135</v>
      </c>
      <c r="AF284">
        <v>1</v>
      </c>
      <c r="AG284">
        <v>1</v>
      </c>
      <c r="AH284">
        <v>0.2</v>
      </c>
      <c r="AI284" s="37"/>
    </row>
    <row r="285" spans="1:36" x14ac:dyDescent="0.2">
      <c r="A285">
        <f t="shared" si="52"/>
        <v>284</v>
      </c>
      <c r="B285">
        <v>3534</v>
      </c>
      <c r="C285">
        <v>3534</v>
      </c>
      <c r="D285">
        <v>0</v>
      </c>
      <c r="E285" t="s">
        <v>138</v>
      </c>
      <c r="F285" t="s">
        <v>220</v>
      </c>
      <c r="G285" t="str">
        <f t="shared" si="54"/>
        <v>_3534</v>
      </c>
      <c r="H285">
        <v>3534</v>
      </c>
      <c r="AB285">
        <v>0</v>
      </c>
      <c r="AC285">
        <v>0</v>
      </c>
      <c r="AD285">
        <v>1</v>
      </c>
      <c r="AE285" s="3" t="s">
        <v>135</v>
      </c>
      <c r="AF285">
        <v>1</v>
      </c>
      <c r="AG285">
        <v>1</v>
      </c>
      <c r="AH285">
        <v>0.2</v>
      </c>
      <c r="AI285" s="37"/>
    </row>
    <row r="286" spans="1:36" x14ac:dyDescent="0.2">
      <c r="A286">
        <f t="shared" si="52"/>
        <v>285</v>
      </c>
      <c r="B286">
        <v>3570</v>
      </c>
      <c r="C286">
        <v>3570</v>
      </c>
      <c r="D286">
        <v>0</v>
      </c>
      <c r="E286" t="s">
        <v>138</v>
      </c>
      <c r="F286" t="s">
        <v>220</v>
      </c>
      <c r="G286" t="s">
        <v>147</v>
      </c>
      <c r="H286">
        <v>3570</v>
      </c>
      <c r="AB286">
        <v>0</v>
      </c>
      <c r="AC286">
        <v>0</v>
      </c>
      <c r="AD286">
        <v>1</v>
      </c>
      <c r="AE286" s="3" t="s">
        <v>135</v>
      </c>
      <c r="AF286">
        <v>1</v>
      </c>
      <c r="AG286">
        <v>1</v>
      </c>
      <c r="AH286">
        <v>0.2</v>
      </c>
      <c r="AI286" s="37"/>
    </row>
    <row r="287" spans="1:36" x14ac:dyDescent="0.2">
      <c r="A287">
        <f t="shared" si="52"/>
        <v>286</v>
      </c>
      <c r="B287">
        <v>3598</v>
      </c>
      <c r="C287">
        <v>3598</v>
      </c>
      <c r="D287">
        <v>0</v>
      </c>
      <c r="E287" t="s">
        <v>138</v>
      </c>
      <c r="F287" t="s">
        <v>220</v>
      </c>
      <c r="G287" t="str">
        <f>"_"&amp;C287</f>
        <v>_3598</v>
      </c>
      <c r="H287">
        <v>3598</v>
      </c>
      <c r="AB287">
        <v>0</v>
      </c>
      <c r="AC287">
        <v>0</v>
      </c>
      <c r="AD287">
        <v>1</v>
      </c>
      <c r="AE287" s="3" t="s">
        <v>135</v>
      </c>
      <c r="AF287">
        <v>1</v>
      </c>
      <c r="AG287">
        <v>1</v>
      </c>
      <c r="AH287">
        <v>0.2</v>
      </c>
      <c r="AI287" s="37"/>
    </row>
    <row r="288" spans="1:36" x14ac:dyDescent="0.2">
      <c r="A288">
        <f t="shared" si="52"/>
        <v>287</v>
      </c>
      <c r="B288">
        <v>3640</v>
      </c>
      <c r="C288">
        <v>3640</v>
      </c>
      <c r="D288">
        <v>0</v>
      </c>
      <c r="E288" t="s">
        <v>138</v>
      </c>
      <c r="F288" t="s">
        <v>220</v>
      </c>
      <c r="G288" t="s">
        <v>221</v>
      </c>
      <c r="H288">
        <v>3640</v>
      </c>
      <c r="AB288">
        <v>0</v>
      </c>
      <c r="AC288">
        <v>0</v>
      </c>
      <c r="AD288">
        <v>1</v>
      </c>
      <c r="AE288" s="3" t="s">
        <v>135</v>
      </c>
      <c r="AF288">
        <v>1</v>
      </c>
      <c r="AG288">
        <v>1</v>
      </c>
      <c r="AH288">
        <v>0.2</v>
      </c>
      <c r="AI288" s="37"/>
    </row>
    <row r="289" spans="1:35" x14ac:dyDescent="0.2">
      <c r="A289">
        <f t="shared" si="52"/>
        <v>288</v>
      </c>
      <c r="B289">
        <v>3673</v>
      </c>
      <c r="C289">
        <v>3673</v>
      </c>
      <c r="D289">
        <v>0</v>
      </c>
      <c r="E289" t="s">
        <v>138</v>
      </c>
      <c r="F289" t="s">
        <v>220</v>
      </c>
      <c r="G289" t="s">
        <v>221</v>
      </c>
      <c r="H289">
        <v>3673</v>
      </c>
      <c r="AB289">
        <v>0</v>
      </c>
      <c r="AC289">
        <v>0</v>
      </c>
      <c r="AD289">
        <v>1</v>
      </c>
      <c r="AE289" s="3" t="s">
        <v>135</v>
      </c>
      <c r="AF289">
        <v>1</v>
      </c>
      <c r="AG289">
        <v>1</v>
      </c>
      <c r="AH289">
        <v>0.2</v>
      </c>
      <c r="AI289" s="37"/>
    </row>
    <row r="290" spans="1:35" x14ac:dyDescent="0.2">
      <c r="A290">
        <f t="shared" si="52"/>
        <v>289</v>
      </c>
      <c r="B290">
        <f>H290</f>
        <v>712</v>
      </c>
      <c r="C290">
        <f>H290</f>
        <v>712</v>
      </c>
      <c r="D290">
        <v>0</v>
      </c>
      <c r="E290" t="s">
        <v>222</v>
      </c>
      <c r="F290" t="s">
        <v>223</v>
      </c>
      <c r="H290" s="45">
        <v>712</v>
      </c>
      <c r="AI290" s="24"/>
    </row>
    <row r="291" spans="1:35" x14ac:dyDescent="0.2">
      <c r="A291">
        <f t="shared" si="52"/>
        <v>290</v>
      </c>
      <c r="B291">
        <f t="shared" ref="B291:B336" si="55">H291</f>
        <v>872</v>
      </c>
      <c r="C291">
        <f t="shared" ref="C291:C336" si="56">H291</f>
        <v>872</v>
      </c>
      <c r="D291">
        <v>0</v>
      </c>
      <c r="E291" t="s">
        <v>222</v>
      </c>
      <c r="F291" t="s">
        <v>223</v>
      </c>
      <c r="H291" s="45">
        <v>872</v>
      </c>
      <c r="AI291" s="24"/>
    </row>
    <row r="292" spans="1:35" x14ac:dyDescent="0.2">
      <c r="A292">
        <f t="shared" si="52"/>
        <v>291</v>
      </c>
      <c r="B292">
        <f t="shared" si="55"/>
        <v>1395</v>
      </c>
      <c r="C292">
        <f t="shared" si="56"/>
        <v>1395</v>
      </c>
      <c r="D292">
        <v>0</v>
      </c>
      <c r="E292" t="s">
        <v>222</v>
      </c>
      <c r="F292" t="s">
        <v>223</v>
      </c>
      <c r="H292" s="46">
        <v>1395</v>
      </c>
      <c r="AI292" s="24"/>
    </row>
    <row r="293" spans="1:35" x14ac:dyDescent="0.2">
      <c r="A293">
        <f t="shared" si="52"/>
        <v>292</v>
      </c>
      <c r="B293">
        <f t="shared" si="55"/>
        <v>1794.75</v>
      </c>
      <c r="C293">
        <f t="shared" si="56"/>
        <v>1794.75</v>
      </c>
      <c r="D293">
        <v>0</v>
      </c>
      <c r="E293" t="s">
        <v>222</v>
      </c>
      <c r="F293" t="s">
        <v>223</v>
      </c>
      <c r="H293" s="46">
        <v>1794.75</v>
      </c>
      <c r="AI293" s="24"/>
    </row>
    <row r="294" spans="1:35" x14ac:dyDescent="0.2">
      <c r="A294">
        <f t="shared" si="52"/>
        <v>293</v>
      </c>
      <c r="B294">
        <f t="shared" si="55"/>
        <v>2512.375</v>
      </c>
      <c r="C294">
        <f t="shared" si="56"/>
        <v>2512.375</v>
      </c>
      <c r="D294">
        <v>0</v>
      </c>
      <c r="E294" t="s">
        <v>222</v>
      </c>
      <c r="F294" t="s">
        <v>223</v>
      </c>
      <c r="H294" s="46">
        <v>2512.375</v>
      </c>
      <c r="AI294" s="24"/>
    </row>
    <row r="295" spans="1:35" x14ac:dyDescent="0.2">
      <c r="A295">
        <f t="shared" si="52"/>
        <v>294</v>
      </c>
      <c r="B295">
        <f t="shared" si="55"/>
        <v>2870.6666666666665</v>
      </c>
      <c r="C295">
        <f t="shared" si="56"/>
        <v>2870.6666666666665</v>
      </c>
      <c r="D295">
        <v>0</v>
      </c>
      <c r="E295" t="s">
        <v>222</v>
      </c>
      <c r="F295" t="s">
        <v>223</v>
      </c>
      <c r="H295" s="46">
        <v>2870.6666666666665</v>
      </c>
      <c r="AI295" s="24"/>
    </row>
    <row r="296" spans="1:35" x14ac:dyDescent="0.2">
      <c r="A296">
        <f t="shared" si="52"/>
        <v>295</v>
      </c>
      <c r="B296">
        <f t="shared" si="55"/>
        <v>2962</v>
      </c>
      <c r="C296">
        <f t="shared" si="56"/>
        <v>2962</v>
      </c>
      <c r="D296">
        <v>0</v>
      </c>
      <c r="E296" t="s">
        <v>222</v>
      </c>
      <c r="F296" t="s">
        <v>223</v>
      </c>
      <c r="H296" s="46">
        <v>2962</v>
      </c>
      <c r="AI296" s="24"/>
    </row>
    <row r="297" spans="1:35" x14ac:dyDescent="0.2">
      <c r="A297">
        <f t="shared" si="52"/>
        <v>296</v>
      </c>
      <c r="B297">
        <f t="shared" si="55"/>
        <v>700</v>
      </c>
      <c r="C297">
        <f t="shared" si="56"/>
        <v>700</v>
      </c>
      <c r="D297">
        <v>0</v>
      </c>
      <c r="E297" t="s">
        <v>222</v>
      </c>
      <c r="F297" t="s">
        <v>224</v>
      </c>
      <c r="H297">
        <v>700</v>
      </c>
      <c r="AI297" s="24"/>
    </row>
    <row r="298" spans="1:35" x14ac:dyDescent="0.2">
      <c r="A298">
        <f t="shared" si="52"/>
        <v>297</v>
      </c>
      <c r="B298">
        <f t="shared" si="55"/>
        <v>712.5</v>
      </c>
      <c r="C298">
        <f t="shared" si="56"/>
        <v>712.5</v>
      </c>
      <c r="D298">
        <v>0</v>
      </c>
      <c r="E298" t="s">
        <v>222</v>
      </c>
      <c r="F298" t="s">
        <v>224</v>
      </c>
      <c r="H298">
        <v>712.5</v>
      </c>
      <c r="AI298" s="24"/>
    </row>
    <row r="299" spans="1:35" x14ac:dyDescent="0.2">
      <c r="A299">
        <f t="shared" si="52"/>
        <v>298</v>
      </c>
      <c r="B299">
        <f t="shared" si="55"/>
        <v>855</v>
      </c>
      <c r="C299">
        <f t="shared" si="56"/>
        <v>855</v>
      </c>
      <c r="D299">
        <v>0</v>
      </c>
      <c r="E299" t="s">
        <v>222</v>
      </c>
      <c r="F299" t="s">
        <v>224</v>
      </c>
      <c r="H299">
        <v>855</v>
      </c>
      <c r="AI299" s="24"/>
    </row>
    <row r="300" spans="1:35" x14ac:dyDescent="0.2">
      <c r="A300">
        <f t="shared" si="52"/>
        <v>299</v>
      </c>
      <c r="B300">
        <f t="shared" si="55"/>
        <v>1082.5</v>
      </c>
      <c r="C300">
        <f t="shared" si="56"/>
        <v>1082.5</v>
      </c>
      <c r="D300">
        <v>0</v>
      </c>
      <c r="E300" t="s">
        <v>222</v>
      </c>
      <c r="F300" t="s">
        <v>224</v>
      </c>
      <c r="H300">
        <v>1082.5</v>
      </c>
      <c r="AI300" s="24"/>
    </row>
    <row r="301" spans="1:35" x14ac:dyDescent="0.2">
      <c r="A301">
        <f t="shared" si="52"/>
        <v>300</v>
      </c>
      <c r="B301">
        <f t="shared" si="55"/>
        <v>1446</v>
      </c>
      <c r="C301">
        <f t="shared" si="56"/>
        <v>1446</v>
      </c>
      <c r="D301">
        <v>0</v>
      </c>
      <c r="E301" t="s">
        <v>222</v>
      </c>
      <c r="F301" t="s">
        <v>224</v>
      </c>
      <c r="H301">
        <v>1446</v>
      </c>
      <c r="AI301" s="24"/>
    </row>
    <row r="302" spans="1:35" x14ac:dyDescent="0.2">
      <c r="A302">
        <f t="shared" si="52"/>
        <v>301</v>
      </c>
      <c r="B302">
        <f t="shared" si="55"/>
        <v>1786.5</v>
      </c>
      <c r="C302">
        <f t="shared" si="56"/>
        <v>1786.5</v>
      </c>
      <c r="D302">
        <v>0</v>
      </c>
      <c r="E302" t="s">
        <v>222</v>
      </c>
      <c r="F302" t="s">
        <v>224</v>
      </c>
      <c r="H302">
        <v>1786.5</v>
      </c>
      <c r="AI302" s="24"/>
    </row>
    <row r="303" spans="1:35" x14ac:dyDescent="0.2">
      <c r="A303">
        <f t="shared" si="52"/>
        <v>302</v>
      </c>
      <c r="B303">
        <f t="shared" si="55"/>
        <v>2520</v>
      </c>
      <c r="C303">
        <f t="shared" si="56"/>
        <v>2520</v>
      </c>
      <c r="D303">
        <v>0</v>
      </c>
      <c r="E303" t="s">
        <v>222</v>
      </c>
      <c r="F303" t="s">
        <v>224</v>
      </c>
      <c r="H303">
        <v>2520</v>
      </c>
      <c r="AI303" s="24"/>
    </row>
    <row r="304" spans="1:35" x14ac:dyDescent="0.2">
      <c r="A304">
        <f t="shared" si="52"/>
        <v>303</v>
      </c>
      <c r="B304">
        <f t="shared" si="55"/>
        <v>2925</v>
      </c>
      <c r="C304">
        <f t="shared" si="56"/>
        <v>2925</v>
      </c>
      <c r="D304">
        <v>0</v>
      </c>
      <c r="E304" t="s">
        <v>222</v>
      </c>
      <c r="F304" t="s">
        <v>224</v>
      </c>
      <c r="H304">
        <v>2925</v>
      </c>
      <c r="AI304" s="24"/>
    </row>
    <row r="305" spans="1:35" x14ac:dyDescent="0.2">
      <c r="A305">
        <f t="shared" si="52"/>
        <v>304</v>
      </c>
      <c r="B305">
        <f t="shared" si="55"/>
        <v>2962</v>
      </c>
      <c r="C305">
        <f t="shared" si="56"/>
        <v>2962</v>
      </c>
      <c r="D305">
        <v>0</v>
      </c>
      <c r="E305" t="s">
        <v>222</v>
      </c>
      <c r="F305" t="s">
        <v>224</v>
      </c>
      <c r="H305">
        <v>2962</v>
      </c>
      <c r="AI305" s="24"/>
    </row>
    <row r="306" spans="1:35" x14ac:dyDescent="0.2">
      <c r="A306">
        <f t="shared" si="52"/>
        <v>305</v>
      </c>
      <c r="B306">
        <f t="shared" si="55"/>
        <v>727.8</v>
      </c>
      <c r="C306">
        <f t="shared" si="56"/>
        <v>727.8</v>
      </c>
      <c r="D306">
        <v>0</v>
      </c>
      <c r="E306" t="s">
        <v>222</v>
      </c>
      <c r="F306" t="s">
        <v>225</v>
      </c>
      <c r="H306">
        <v>727.8</v>
      </c>
      <c r="AI306" s="24"/>
    </row>
    <row r="307" spans="1:35" x14ac:dyDescent="0.2">
      <c r="A307">
        <f t="shared" si="52"/>
        <v>306</v>
      </c>
      <c r="B307">
        <f t="shared" si="55"/>
        <v>874.6</v>
      </c>
      <c r="C307">
        <f t="shared" si="56"/>
        <v>874.6</v>
      </c>
      <c r="D307">
        <v>0</v>
      </c>
      <c r="E307" t="s">
        <v>222</v>
      </c>
      <c r="F307" t="s">
        <v>225</v>
      </c>
      <c r="H307">
        <v>874.6</v>
      </c>
      <c r="AI307" s="24"/>
    </row>
    <row r="308" spans="1:35" x14ac:dyDescent="0.2">
      <c r="A308">
        <f t="shared" si="52"/>
        <v>307</v>
      </c>
      <c r="B308">
        <f t="shared" si="55"/>
        <v>1127</v>
      </c>
      <c r="C308">
        <f t="shared" si="56"/>
        <v>1127</v>
      </c>
      <c r="D308">
        <v>0</v>
      </c>
      <c r="E308" t="s">
        <v>222</v>
      </c>
      <c r="F308" t="s">
        <v>225</v>
      </c>
      <c r="H308">
        <v>1127</v>
      </c>
      <c r="AI308" s="24"/>
    </row>
    <row r="309" spans="1:35" x14ac:dyDescent="0.2">
      <c r="A309">
        <f t="shared" si="52"/>
        <v>308</v>
      </c>
      <c r="B309">
        <f t="shared" si="55"/>
        <v>1414.8</v>
      </c>
      <c r="C309">
        <f t="shared" si="56"/>
        <v>1414.8</v>
      </c>
      <c r="D309">
        <v>0</v>
      </c>
      <c r="E309" t="s">
        <v>222</v>
      </c>
      <c r="F309" t="s">
        <v>225</v>
      </c>
      <c r="H309">
        <v>1414.8</v>
      </c>
      <c r="AI309" s="24"/>
    </row>
    <row r="310" spans="1:35" x14ac:dyDescent="0.2">
      <c r="A310">
        <f t="shared" si="52"/>
        <v>309</v>
      </c>
      <c r="B310">
        <f t="shared" si="55"/>
        <v>1812.8</v>
      </c>
      <c r="C310">
        <f t="shared" si="56"/>
        <v>1812.8</v>
      </c>
      <c r="D310">
        <v>0</v>
      </c>
      <c r="E310" t="s">
        <v>222</v>
      </c>
      <c r="F310" t="s">
        <v>225</v>
      </c>
      <c r="H310">
        <v>1812.8</v>
      </c>
      <c r="AI310" s="24"/>
    </row>
    <row r="311" spans="1:35" x14ac:dyDescent="0.2">
      <c r="A311">
        <f t="shared" si="52"/>
        <v>310</v>
      </c>
      <c r="B311">
        <f t="shared" si="55"/>
        <v>2524</v>
      </c>
      <c r="C311">
        <f t="shared" si="56"/>
        <v>2524</v>
      </c>
      <c r="D311">
        <v>0</v>
      </c>
      <c r="E311" t="s">
        <v>222</v>
      </c>
      <c r="F311" t="s">
        <v>225</v>
      </c>
      <c r="H311">
        <v>2524</v>
      </c>
      <c r="AI311" s="24"/>
    </row>
    <row r="312" spans="1:35" x14ac:dyDescent="0.2">
      <c r="A312">
        <f t="shared" si="52"/>
        <v>311</v>
      </c>
      <c r="B312">
        <f t="shared" si="55"/>
        <v>2895.25</v>
      </c>
      <c r="C312">
        <f t="shared" si="56"/>
        <v>2895.25</v>
      </c>
      <c r="D312">
        <v>0</v>
      </c>
      <c r="E312" t="s">
        <v>222</v>
      </c>
      <c r="F312" t="s">
        <v>225</v>
      </c>
      <c r="H312">
        <v>2895.25</v>
      </c>
      <c r="AI312" s="24"/>
    </row>
    <row r="313" spans="1:35" x14ac:dyDescent="0.2">
      <c r="A313">
        <f t="shared" si="52"/>
        <v>312</v>
      </c>
      <c r="B313">
        <f t="shared" si="55"/>
        <v>746.7</v>
      </c>
      <c r="C313">
        <f t="shared" si="56"/>
        <v>746.7</v>
      </c>
      <c r="D313">
        <v>0</v>
      </c>
      <c r="E313" t="s">
        <v>222</v>
      </c>
      <c r="F313" t="s">
        <v>226</v>
      </c>
      <c r="H313">
        <v>746.7</v>
      </c>
      <c r="AI313" s="24"/>
    </row>
    <row r="314" spans="1:35" x14ac:dyDescent="0.2">
      <c r="A314">
        <f t="shared" si="52"/>
        <v>313</v>
      </c>
      <c r="B314">
        <f t="shared" si="55"/>
        <v>879</v>
      </c>
      <c r="C314">
        <f t="shared" si="56"/>
        <v>879</v>
      </c>
      <c r="D314">
        <v>0</v>
      </c>
      <c r="E314" t="s">
        <v>222</v>
      </c>
      <c r="F314" t="s">
        <v>226</v>
      </c>
      <c r="H314" s="47">
        <v>879</v>
      </c>
      <c r="AI314" s="24"/>
    </row>
    <row r="315" spans="1:35" x14ac:dyDescent="0.2">
      <c r="A315">
        <f t="shared" si="52"/>
        <v>314</v>
      </c>
      <c r="B315">
        <f t="shared" si="55"/>
        <v>1430</v>
      </c>
      <c r="C315">
        <f t="shared" si="56"/>
        <v>1430</v>
      </c>
      <c r="D315">
        <v>0</v>
      </c>
      <c r="E315" t="s">
        <v>222</v>
      </c>
      <c r="F315" t="s">
        <v>226</v>
      </c>
      <c r="H315">
        <v>1430</v>
      </c>
      <c r="AI315" s="24"/>
    </row>
    <row r="316" spans="1:35" x14ac:dyDescent="0.2">
      <c r="A316">
        <f t="shared" si="52"/>
        <v>315</v>
      </c>
      <c r="B316">
        <f t="shared" si="55"/>
        <v>1823</v>
      </c>
      <c r="C316">
        <f t="shared" si="56"/>
        <v>1823</v>
      </c>
      <c r="D316">
        <v>0</v>
      </c>
      <c r="E316" t="s">
        <v>222</v>
      </c>
      <c r="F316" t="s">
        <v>226</v>
      </c>
      <c r="H316">
        <v>1823</v>
      </c>
      <c r="AI316" s="24"/>
    </row>
    <row r="317" spans="1:35" x14ac:dyDescent="0.2">
      <c r="A317">
        <f t="shared" si="52"/>
        <v>316</v>
      </c>
      <c r="B317">
        <f t="shared" si="55"/>
        <v>2528</v>
      </c>
      <c r="C317">
        <f t="shared" si="56"/>
        <v>2528</v>
      </c>
      <c r="D317">
        <v>0</v>
      </c>
      <c r="E317" t="s">
        <v>222</v>
      </c>
      <c r="F317" t="s">
        <v>226</v>
      </c>
      <c r="H317">
        <v>2528</v>
      </c>
      <c r="AI317" s="24"/>
    </row>
    <row r="318" spans="1:35" x14ac:dyDescent="0.2">
      <c r="A318">
        <f t="shared" si="52"/>
        <v>317</v>
      </c>
      <c r="B318">
        <f t="shared" si="55"/>
        <v>2538</v>
      </c>
      <c r="C318">
        <f t="shared" si="56"/>
        <v>2538</v>
      </c>
      <c r="D318">
        <v>0</v>
      </c>
      <c r="E318" t="s">
        <v>222</v>
      </c>
      <c r="F318" t="s">
        <v>226</v>
      </c>
      <c r="H318">
        <v>2538</v>
      </c>
      <c r="AI318" s="24"/>
    </row>
    <row r="319" spans="1:35" x14ac:dyDescent="0.2">
      <c r="A319">
        <f t="shared" si="52"/>
        <v>318</v>
      </c>
      <c r="B319">
        <f t="shared" si="55"/>
        <v>2531.5</v>
      </c>
      <c r="C319">
        <f t="shared" si="56"/>
        <v>2531.5</v>
      </c>
      <c r="D319">
        <v>0</v>
      </c>
      <c r="E319" t="s">
        <v>222</v>
      </c>
      <c r="F319" t="s">
        <v>226</v>
      </c>
      <c r="H319">
        <v>2531.5</v>
      </c>
      <c r="AI319" s="24"/>
    </row>
    <row r="320" spans="1:35" x14ac:dyDescent="0.2">
      <c r="A320">
        <f t="shared" si="52"/>
        <v>319</v>
      </c>
      <c r="B320">
        <f t="shared" si="55"/>
        <v>2538</v>
      </c>
      <c r="C320">
        <f t="shared" si="56"/>
        <v>2538</v>
      </c>
      <c r="D320">
        <v>0</v>
      </c>
      <c r="E320" t="s">
        <v>222</v>
      </c>
      <c r="F320" t="s">
        <v>226</v>
      </c>
      <c r="H320">
        <v>2538</v>
      </c>
      <c r="AI320" s="24"/>
    </row>
    <row r="321" spans="1:35" x14ac:dyDescent="0.2">
      <c r="A321">
        <f t="shared" si="52"/>
        <v>320</v>
      </c>
      <c r="B321">
        <f t="shared" si="55"/>
        <v>2551</v>
      </c>
      <c r="C321">
        <f t="shared" si="56"/>
        <v>2551</v>
      </c>
      <c r="D321">
        <v>0</v>
      </c>
      <c r="E321" t="s">
        <v>222</v>
      </c>
      <c r="F321" t="s">
        <v>226</v>
      </c>
      <c r="H321">
        <v>2551</v>
      </c>
      <c r="AI321" s="24"/>
    </row>
    <row r="322" spans="1:35" x14ac:dyDescent="0.2">
      <c r="A322">
        <f t="shared" si="52"/>
        <v>321</v>
      </c>
      <c r="B322">
        <f t="shared" si="55"/>
        <v>738.66666666666663</v>
      </c>
      <c r="C322">
        <f t="shared" si="56"/>
        <v>738.66666666666663</v>
      </c>
      <c r="D322">
        <v>0</v>
      </c>
      <c r="E322" t="s">
        <v>222</v>
      </c>
      <c r="F322" t="s">
        <v>227</v>
      </c>
      <c r="H322">
        <v>738.66666666666663</v>
      </c>
      <c r="AI322" s="24"/>
    </row>
    <row r="323" spans="1:35" x14ac:dyDescent="0.2">
      <c r="A323">
        <f t="shared" si="52"/>
        <v>322</v>
      </c>
      <c r="B323">
        <f t="shared" si="55"/>
        <v>864.66666666666663</v>
      </c>
      <c r="C323">
        <f t="shared" si="56"/>
        <v>864.66666666666663</v>
      </c>
      <c r="D323">
        <v>0</v>
      </c>
      <c r="E323" t="s">
        <v>222</v>
      </c>
      <c r="F323" t="s">
        <v>227</v>
      </c>
      <c r="H323">
        <v>864.66666666666663</v>
      </c>
      <c r="AI323" s="24"/>
    </row>
    <row r="324" spans="1:35" x14ac:dyDescent="0.2">
      <c r="A324">
        <f t="shared" ref="A324:A336" si="57">A323+1</f>
        <v>323</v>
      </c>
      <c r="B324">
        <f t="shared" si="55"/>
        <v>1405.3333333333333</v>
      </c>
      <c r="C324">
        <f t="shared" si="56"/>
        <v>1405.3333333333333</v>
      </c>
      <c r="D324">
        <v>0</v>
      </c>
      <c r="E324" t="s">
        <v>222</v>
      </c>
      <c r="F324" t="s">
        <v>227</v>
      </c>
      <c r="H324">
        <v>1405.3333333333333</v>
      </c>
      <c r="AI324" s="24"/>
    </row>
    <row r="325" spans="1:35" x14ac:dyDescent="0.2">
      <c r="A325">
        <f t="shared" si="57"/>
        <v>324</v>
      </c>
      <c r="B325">
        <f t="shared" si="55"/>
        <v>1810.3333333333333</v>
      </c>
      <c r="C325">
        <f t="shared" si="56"/>
        <v>1810.3333333333333</v>
      </c>
      <c r="D325">
        <v>0</v>
      </c>
      <c r="E325" t="s">
        <v>222</v>
      </c>
      <c r="F325" t="s">
        <v>227</v>
      </c>
      <c r="H325">
        <v>1810.3333333333333</v>
      </c>
      <c r="AI325" s="24"/>
    </row>
    <row r="326" spans="1:35" x14ac:dyDescent="0.2">
      <c r="A326">
        <f t="shared" si="57"/>
        <v>325</v>
      </c>
      <c r="B326">
        <f t="shared" si="55"/>
        <v>2511.5</v>
      </c>
      <c r="C326">
        <f t="shared" si="56"/>
        <v>2511.5</v>
      </c>
      <c r="D326">
        <v>0</v>
      </c>
      <c r="E326" t="s">
        <v>222</v>
      </c>
      <c r="F326" t="s">
        <v>227</v>
      </c>
      <c r="H326">
        <v>2511.5</v>
      </c>
      <c r="AI326" s="24"/>
    </row>
    <row r="327" spans="1:35" x14ac:dyDescent="0.2">
      <c r="A327">
        <f t="shared" si="57"/>
        <v>326</v>
      </c>
      <c r="B327">
        <f t="shared" si="55"/>
        <v>1320</v>
      </c>
      <c r="C327">
        <f t="shared" si="56"/>
        <v>1320</v>
      </c>
      <c r="D327">
        <v>0</v>
      </c>
      <c r="E327" t="s">
        <v>222</v>
      </c>
      <c r="F327" t="s">
        <v>228</v>
      </c>
      <c r="G327" t="s">
        <v>229</v>
      </c>
      <c r="H327">
        <v>1320</v>
      </c>
      <c r="AI327" s="24"/>
    </row>
    <row r="328" spans="1:35" x14ac:dyDescent="0.2">
      <c r="A328">
        <f t="shared" si="57"/>
        <v>327</v>
      </c>
      <c r="B328">
        <f t="shared" si="55"/>
        <v>1420</v>
      </c>
      <c r="C328">
        <f t="shared" si="56"/>
        <v>1420</v>
      </c>
      <c r="D328">
        <v>0</v>
      </c>
      <c r="E328" t="s">
        <v>222</v>
      </c>
      <c r="F328" t="s">
        <v>228</v>
      </c>
      <c r="G328" t="s">
        <v>231</v>
      </c>
      <c r="H328">
        <v>1420</v>
      </c>
      <c r="AI328" s="24"/>
    </row>
    <row r="329" spans="1:35" x14ac:dyDescent="0.2">
      <c r="A329">
        <f t="shared" si="57"/>
        <v>328</v>
      </c>
      <c r="B329">
        <f t="shared" si="55"/>
        <v>1800</v>
      </c>
      <c r="C329">
        <f t="shared" si="56"/>
        <v>1800</v>
      </c>
      <c r="D329">
        <v>0</v>
      </c>
      <c r="E329" t="s">
        <v>222</v>
      </c>
      <c r="F329" t="s">
        <v>228</v>
      </c>
      <c r="G329" t="s">
        <v>230</v>
      </c>
      <c r="H329">
        <v>1800</v>
      </c>
      <c r="AI329" s="24"/>
    </row>
    <row r="330" spans="1:35" x14ac:dyDescent="0.2">
      <c r="A330">
        <f t="shared" si="57"/>
        <v>329</v>
      </c>
      <c r="B330">
        <f t="shared" si="55"/>
        <v>2140</v>
      </c>
      <c r="C330">
        <f t="shared" si="56"/>
        <v>2140</v>
      </c>
      <c r="D330">
        <v>0</v>
      </c>
      <c r="E330" t="s">
        <v>222</v>
      </c>
      <c r="F330" t="s">
        <v>228</v>
      </c>
      <c r="G330" t="s">
        <v>232</v>
      </c>
      <c r="H330">
        <v>2140</v>
      </c>
      <c r="AI330" s="24"/>
    </row>
    <row r="331" spans="1:35" x14ac:dyDescent="0.2">
      <c r="A331">
        <f t="shared" si="57"/>
        <v>330</v>
      </c>
      <c r="B331">
        <f t="shared" si="55"/>
        <v>2350</v>
      </c>
      <c r="C331">
        <f t="shared" si="56"/>
        <v>2350</v>
      </c>
      <c r="D331">
        <v>0</v>
      </c>
      <c r="E331" t="s">
        <v>222</v>
      </c>
      <c r="F331" t="s">
        <v>228</v>
      </c>
      <c r="G331" t="s">
        <v>233</v>
      </c>
      <c r="H331">
        <v>2350</v>
      </c>
      <c r="AI331" s="24"/>
    </row>
    <row r="332" spans="1:35" x14ac:dyDescent="0.2">
      <c r="A332">
        <f t="shared" si="57"/>
        <v>331</v>
      </c>
      <c r="B332">
        <f t="shared" si="55"/>
        <v>2510</v>
      </c>
      <c r="C332">
        <f t="shared" si="56"/>
        <v>2510</v>
      </c>
      <c r="D332">
        <v>0</v>
      </c>
      <c r="E332" t="s">
        <v>222</v>
      </c>
      <c r="F332" t="s">
        <v>228</v>
      </c>
      <c r="G332" t="s">
        <v>236</v>
      </c>
      <c r="H332">
        <v>2510</v>
      </c>
      <c r="AI332" s="24"/>
    </row>
    <row r="333" spans="1:35" x14ac:dyDescent="0.2">
      <c r="A333">
        <f t="shared" si="57"/>
        <v>332</v>
      </c>
      <c r="B333">
        <f t="shared" si="55"/>
        <v>2600</v>
      </c>
      <c r="C333">
        <f t="shared" si="56"/>
        <v>2600</v>
      </c>
      <c r="D333">
        <v>0</v>
      </c>
      <c r="E333" t="s">
        <v>222</v>
      </c>
      <c r="F333" t="s">
        <v>228</v>
      </c>
      <c r="G333" t="s">
        <v>236</v>
      </c>
      <c r="H333">
        <v>2600</v>
      </c>
      <c r="AI333" s="24"/>
    </row>
    <row r="334" spans="1:35" x14ac:dyDescent="0.2">
      <c r="A334">
        <f t="shared" si="57"/>
        <v>333</v>
      </c>
      <c r="B334">
        <f t="shared" si="55"/>
        <v>2850</v>
      </c>
      <c r="C334">
        <f t="shared" si="56"/>
        <v>2850</v>
      </c>
      <c r="D334">
        <v>0</v>
      </c>
      <c r="E334" t="s">
        <v>222</v>
      </c>
      <c r="F334" t="s">
        <v>228</v>
      </c>
      <c r="G334" t="s">
        <v>235</v>
      </c>
      <c r="H334">
        <v>2850</v>
      </c>
      <c r="AI334" s="24"/>
    </row>
    <row r="335" spans="1:35" x14ac:dyDescent="0.2">
      <c r="A335">
        <f t="shared" si="57"/>
        <v>334</v>
      </c>
      <c r="B335">
        <f t="shared" si="55"/>
        <v>2920</v>
      </c>
      <c r="C335">
        <f t="shared" si="56"/>
        <v>2920</v>
      </c>
      <c r="D335">
        <v>0</v>
      </c>
      <c r="E335" t="s">
        <v>222</v>
      </c>
      <c r="F335" t="s">
        <v>228</v>
      </c>
      <c r="G335" t="s">
        <v>235</v>
      </c>
      <c r="H335">
        <v>2920</v>
      </c>
      <c r="AI335" s="24"/>
    </row>
    <row r="336" spans="1:35" x14ac:dyDescent="0.2">
      <c r="A336">
        <f t="shared" si="57"/>
        <v>335</v>
      </c>
      <c r="B336">
        <f t="shared" si="55"/>
        <v>3400</v>
      </c>
      <c r="C336">
        <f t="shared" si="56"/>
        <v>3400</v>
      </c>
      <c r="D336">
        <v>0</v>
      </c>
      <c r="E336" t="s">
        <v>222</v>
      </c>
      <c r="F336" t="s">
        <v>228</v>
      </c>
      <c r="G336" t="s">
        <v>234</v>
      </c>
      <c r="H336">
        <v>3400</v>
      </c>
      <c r="AI336" s="24"/>
    </row>
  </sheetData>
  <sortState xmlns:xlrd2="http://schemas.microsoft.com/office/spreadsheetml/2017/richdata2" ref="A2:AJ265">
    <sortCondition ref="AJ1:AJ265"/>
  </sortState>
  <phoneticPr fontId="1" type="noConversion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PeakDB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Gies, Nils Benjamin (GEO)</cp:lastModifiedBy>
  <dcterms:created xsi:type="dcterms:W3CDTF">2022-12-16T11:43:45Z</dcterms:created>
  <dcterms:modified xsi:type="dcterms:W3CDTF">2025-07-28T14:49:01Z</dcterms:modified>
</cp:coreProperties>
</file>